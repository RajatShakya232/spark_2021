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Dev thapa\Desktop\GitHub\pyExcel_Sheets\"/>
    </mc:Choice>
  </mc:AlternateContent>
  <bookViews>
    <workbookView xWindow="0" yWindow="0" windowWidth="20490" windowHeight="7155"/>
  </bookViews>
  <sheets>
    <sheet name="Instructions" sheetId="11" r:id="rId1"/>
    <sheet name="HazardData" sheetId="6" r:id="rId2"/>
    <sheet name="Resilience" sheetId="4" r:id="rId3"/>
    <sheet name="Fragility" sheetId="3" r:id="rId4"/>
    <sheet name="Misc" sheetId="8" r:id="rId5"/>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9" i="4" l="1"/>
  <c r="I10" i="4"/>
  <c r="I11" i="4"/>
  <c r="I12" i="4"/>
  <c r="I13" i="4"/>
  <c r="I14" i="4"/>
  <c r="I15" i="4"/>
  <c r="I16" i="4"/>
  <c r="I17" i="4"/>
  <c r="I8" i="4"/>
  <c r="C14" i="3" l="1"/>
  <c r="C8" i="8"/>
  <c r="M29" i="3"/>
  <c r="C24" i="3" l="1"/>
  <c r="C10" i="4" l="1"/>
  <c r="D10" i="4" s="1"/>
  <c r="N10" i="4" s="1"/>
  <c r="C11" i="4"/>
  <c r="D11" i="4" s="1"/>
  <c r="N11" i="4" s="1"/>
  <c r="C12" i="4"/>
  <c r="D12" i="4" s="1"/>
  <c r="N12" i="4" s="1"/>
  <c r="C13" i="4"/>
  <c r="D13" i="4" s="1"/>
  <c r="N13" i="4" s="1"/>
  <c r="C14" i="4"/>
  <c r="D14" i="4" s="1"/>
  <c r="N14" i="4" s="1"/>
  <c r="C15" i="4"/>
  <c r="D15" i="4" s="1"/>
  <c r="N15" i="4" s="1"/>
  <c r="C16" i="4"/>
  <c r="D16" i="4" s="1"/>
  <c r="N16" i="4" s="1"/>
  <c r="C17" i="4"/>
  <c r="D17" i="4" s="1"/>
  <c r="N17" i="4" s="1"/>
  <c r="B5" i="4" l="1"/>
  <c r="C9" i="4" l="1"/>
  <c r="D9" i="4" s="1"/>
  <c r="N9" i="4" l="1"/>
  <c r="C8" i="4"/>
  <c r="D8" i="4" l="1"/>
  <c r="N8" i="4" s="1"/>
  <c r="J10" i="3" l="1"/>
  <c r="I10" i="3"/>
  <c r="C28" i="3"/>
  <c r="J22" i="3" s="1"/>
  <c r="C25" i="3"/>
  <c r="C26" i="3" l="1"/>
  <c r="K22" i="3"/>
  <c r="J26" i="3"/>
  <c r="I27" i="3" s="1"/>
  <c r="L22" i="3"/>
  <c r="M22" i="3"/>
  <c r="M26" i="3" s="1"/>
  <c r="K26" i="3" l="1"/>
  <c r="J27" i="3" s="1"/>
  <c r="M27" i="3"/>
  <c r="M33" i="3" s="1"/>
  <c r="L26" i="3"/>
  <c r="I30" i="3"/>
  <c r="I33" i="3"/>
  <c r="L27" i="3" l="1"/>
  <c r="L30" i="3" s="1"/>
  <c r="K27" i="3"/>
  <c r="K33" i="3" s="1"/>
  <c r="M30" i="3"/>
  <c r="J33" i="3"/>
  <c r="J30" i="3"/>
  <c r="K30" i="3" l="1"/>
  <c r="L33" i="3"/>
  <c r="I41" i="3" s="1"/>
  <c r="I37" i="3" l="1"/>
  <c r="I39" i="3" s="1"/>
</calcChain>
</file>

<file path=xl/sharedStrings.xml><?xml version="1.0" encoding="utf-8"?>
<sst xmlns="http://schemas.openxmlformats.org/spreadsheetml/2006/main" count="301" uniqueCount="144">
  <si>
    <t>Remarks</t>
  </si>
  <si>
    <t>K_skew</t>
  </si>
  <si>
    <t>K_3D</t>
  </si>
  <si>
    <t>A</t>
  </si>
  <si>
    <t>B</t>
  </si>
  <si>
    <t>Factor_slight</t>
  </si>
  <si>
    <t>Material</t>
  </si>
  <si>
    <t>Type</t>
  </si>
  <si>
    <t>State</t>
  </si>
  <si>
    <t>Year Built</t>
  </si>
  <si>
    <t>No. of Spans</t>
  </si>
  <si>
    <t>Len. Of Max Span (m)</t>
  </si>
  <si>
    <t>Design</t>
  </si>
  <si>
    <t>I_shape</t>
  </si>
  <si>
    <t>K_3D Param</t>
  </si>
  <si>
    <t>skew angle</t>
  </si>
  <si>
    <t>K_Shape</t>
  </si>
  <si>
    <t>SA(0.3s)</t>
  </si>
  <si>
    <t>SA(1.0s)</t>
  </si>
  <si>
    <t>Value</t>
  </si>
  <si>
    <t>Amplified SA</t>
  </si>
  <si>
    <t>Median for SA(1.0s)</t>
  </si>
  <si>
    <t>Slight</t>
  </si>
  <si>
    <t>Moderate</t>
  </si>
  <si>
    <t>Extensive</t>
  </si>
  <si>
    <t>Collapse</t>
  </si>
  <si>
    <t>From Table</t>
  </si>
  <si>
    <t>Modified Median</t>
  </si>
  <si>
    <t>-</t>
  </si>
  <si>
    <t>No Damage</t>
  </si>
  <si>
    <t>Std. Dev (Beta)</t>
  </si>
  <si>
    <t>of Damage State</t>
  </si>
  <si>
    <t>Bridge Information</t>
  </si>
  <si>
    <t>Standard Log normal Distribution Parameters</t>
  </si>
  <si>
    <t>Site information</t>
  </si>
  <si>
    <t xml:space="preserve">Information to be filled by refering to the HAZUS Document. </t>
  </si>
  <si>
    <t>Calculated variables. Do not change the cell values</t>
  </si>
  <si>
    <t xml:space="preserve">Information must be known, but filling is optional. </t>
  </si>
  <si>
    <t>Information must be known and must be filled.</t>
  </si>
  <si>
    <t>of exceedance</t>
  </si>
  <si>
    <t>Bridge Parameters</t>
  </si>
  <si>
    <t>in degrees.</t>
  </si>
  <si>
    <t>CA or Non-CA</t>
  </si>
  <si>
    <t>Seismic or Conventional</t>
  </si>
  <si>
    <t>From Table 7.2</t>
  </si>
  <si>
    <t>From Tables 7.2 &amp; 7.3</t>
  </si>
  <si>
    <t>Soil Amp. Factor</t>
  </si>
  <si>
    <t>ColorCode</t>
  </si>
  <si>
    <t>Bridge Class</t>
  </si>
  <si>
    <t>Damage Ratio</t>
  </si>
  <si>
    <t>DR * P(ds)</t>
  </si>
  <si>
    <t>Expected Damage Ratio</t>
  </si>
  <si>
    <t xml:space="preserve">If the actual value is not available, estimate value can be obtained from Table 15.16 </t>
  </si>
  <si>
    <t>Replacement Value (thousands, $)</t>
  </si>
  <si>
    <t>Expected Loss</t>
  </si>
  <si>
    <t>T_re *P(ds)</t>
  </si>
  <si>
    <t>T_re</t>
  </si>
  <si>
    <t>Expected T_re (days)</t>
  </si>
  <si>
    <t xml:space="preserve">Output </t>
  </si>
  <si>
    <t>Return Period</t>
  </si>
  <si>
    <t>Contribution</t>
  </si>
  <si>
    <t>Probabilities (for SA1P0)</t>
  </si>
  <si>
    <t>SA1P0</t>
  </si>
  <si>
    <t>Event</t>
  </si>
  <si>
    <t>Rate</t>
  </si>
  <si>
    <t>Design Life of Bridge</t>
  </si>
  <si>
    <t>Annual Probability</t>
  </si>
  <si>
    <t>Probability of Occurance in Design Life</t>
  </si>
  <si>
    <t>No. of Events Occurances Expected in Design Life</t>
  </si>
  <si>
    <t>Resilience</t>
  </si>
  <si>
    <t>Number of Events</t>
  </si>
  <si>
    <t>Recovery Time ( T_re)</t>
  </si>
  <si>
    <t>No. of Events Occurance</t>
  </si>
  <si>
    <t>loc_id</t>
  </si>
  <si>
    <t>return_period</t>
  </si>
  <si>
    <t>imt</t>
  </si>
  <si>
    <t>source_set</t>
  </si>
  <si>
    <t>source_name</t>
  </si>
  <si>
    <t>mod_source_name</t>
  </si>
  <si>
    <t>r</t>
  </si>
  <si>
    <t>m</t>
  </si>
  <si>
    <t>eps</t>
  </si>
  <si>
    <t>latitude</t>
  </si>
  <si>
    <t>longitude</t>
  </si>
  <si>
    <t>azimuth</t>
  </si>
  <si>
    <t>contribution</t>
  </si>
  <si>
    <t>hazard</t>
  </si>
  <si>
    <t>SA0P3</t>
  </si>
  <si>
    <t>GGB</t>
  </si>
  <si>
    <t>UC33brAvg_FM32</t>
  </si>
  <si>
    <t>San Andreas (Peninsula) [13]</t>
  </si>
  <si>
    <t xml:space="preserve">San Andreas (Peninsula) </t>
  </si>
  <si>
    <t>UC33brAvg_FM31</t>
  </si>
  <si>
    <t>San Andreas (Peninsula) [5]</t>
  </si>
  <si>
    <t>HWB1</t>
  </si>
  <si>
    <t>Site Class</t>
  </si>
  <si>
    <t>Recovery Factor</t>
  </si>
  <si>
    <t>Direct Structural Loss (Damage Ratio)</t>
  </si>
  <si>
    <t>San Gregorio (North) [3]</t>
  </si>
  <si>
    <t xml:space="preserve">San Gregorio (North) </t>
  </si>
  <si>
    <t>SMH</t>
  </si>
  <si>
    <t>San Andreas (Peninsula) [7]</t>
  </si>
  <si>
    <t>San Gregorio (North) [9]</t>
  </si>
  <si>
    <t>DBN</t>
  </si>
  <si>
    <t>San Gregorio (North) [11]</t>
  </si>
  <si>
    <t>SA - P FM32 - 475</t>
  </si>
  <si>
    <t>SA - P FM31 - 475</t>
  </si>
  <si>
    <t>SG FM32 - 475</t>
  </si>
  <si>
    <t>SG FM31 475</t>
  </si>
  <si>
    <t>SA - P FM32 975</t>
  </si>
  <si>
    <t>SG FM32 975</t>
  </si>
  <si>
    <t>SA - P FM1 975</t>
  </si>
  <si>
    <t>SG FM1 975</t>
  </si>
  <si>
    <t>SA - P FM2 2475</t>
  </si>
  <si>
    <t>SA - P FM1 2475</t>
  </si>
  <si>
    <t>Bridge</t>
  </si>
  <si>
    <t>AAL</t>
  </si>
  <si>
    <t>D</t>
  </si>
  <si>
    <t>Bridge Type</t>
  </si>
  <si>
    <t>HWB7</t>
  </si>
  <si>
    <t>From Table 4.9</t>
  </si>
  <si>
    <t xml:space="preserve">From Table7.7 </t>
  </si>
  <si>
    <t>CA</t>
  </si>
  <si>
    <t>Steel</t>
  </si>
  <si>
    <t>Conventional</t>
  </si>
  <si>
    <t>~4days</t>
  </si>
  <si>
    <t>~19 days</t>
  </si>
  <si>
    <t>C</t>
  </si>
  <si>
    <t>Suspension</t>
  </si>
  <si>
    <t>~13 days</t>
  </si>
  <si>
    <t>Color Code</t>
  </si>
  <si>
    <t>Information to be filled from "Fragility" sheet</t>
  </si>
  <si>
    <t>Hazard Data Sheet</t>
  </si>
  <si>
    <t>Fragility Sheet</t>
  </si>
  <si>
    <t>Resilience Sheet</t>
  </si>
  <si>
    <t>This sheet can be used to compile the data for different bridges. It is only a helper sheet provided for the user to use, and filling (or not filling) it does not change the result in any other sheets.</t>
  </si>
  <si>
    <t>A workbook created by Rajat Shakya, under the guidance of Prof. Dr. Saurabh Shiradhonker, as a part of SPARK 2021 Internship at IIT Roorkee</t>
  </si>
  <si>
    <t>Misc Sheet</t>
  </si>
  <si>
    <r>
      <t>This sheet will calculate the resilience for the given bridge/structure. The color coding details is provided in the same sheet. The</t>
    </r>
    <r>
      <rPr>
        <b/>
        <sz val="12"/>
        <color theme="1"/>
        <rFont val="Calibri"/>
        <family val="2"/>
        <scheme val="minor"/>
      </rPr>
      <t xml:space="preserve"> Direct structural loss</t>
    </r>
    <r>
      <rPr>
        <sz val="12"/>
        <color theme="1"/>
        <rFont val="Calibri"/>
        <family val="2"/>
        <scheme val="minor"/>
      </rPr>
      <t xml:space="preserve"> and the </t>
    </r>
    <r>
      <rPr>
        <b/>
        <sz val="12"/>
        <color theme="1"/>
        <rFont val="Calibri"/>
        <family val="2"/>
        <scheme val="minor"/>
      </rPr>
      <t>Recovery Time</t>
    </r>
    <r>
      <rPr>
        <sz val="12"/>
        <color theme="1"/>
        <rFont val="Calibri"/>
        <family val="2"/>
        <scheme val="minor"/>
      </rPr>
      <t xml:space="preserve"> for a single event can be obtained from the </t>
    </r>
    <r>
      <rPr>
        <b/>
        <sz val="12"/>
        <color theme="1"/>
        <rFont val="Calibri"/>
        <family val="2"/>
        <scheme val="minor"/>
      </rPr>
      <t>"Fragility"</t>
    </r>
    <r>
      <rPr>
        <sz val="12"/>
        <color theme="1"/>
        <rFont val="Calibri"/>
        <family val="2"/>
        <scheme val="minor"/>
      </rPr>
      <t xml:space="preserve"> sheet as the values </t>
    </r>
    <r>
      <rPr>
        <b/>
        <sz val="12"/>
        <color theme="1"/>
        <rFont val="Calibri"/>
        <family val="2"/>
        <scheme val="minor"/>
      </rPr>
      <t xml:space="preserve">Expected Damage Ratio </t>
    </r>
    <r>
      <rPr>
        <sz val="12"/>
        <color theme="1"/>
        <rFont val="Calibri"/>
        <family val="2"/>
        <scheme val="minor"/>
      </rPr>
      <t xml:space="preserve">and </t>
    </r>
    <r>
      <rPr>
        <b/>
        <sz val="12"/>
        <color theme="1"/>
        <rFont val="Calibri"/>
        <family val="2"/>
        <scheme val="minor"/>
      </rPr>
      <t>Expected T_re</t>
    </r>
    <r>
      <rPr>
        <sz val="12"/>
        <color theme="1"/>
        <rFont val="Calibri"/>
        <family val="2"/>
        <scheme val="minor"/>
      </rPr>
      <t>. Ensure that the formulae for the calculated variables are dragged into all the events records. Once all the events and the corresponding values have been filled, click on the "</t>
    </r>
    <r>
      <rPr>
        <b/>
        <sz val="12"/>
        <color theme="1"/>
        <rFont val="Calibri"/>
        <family val="2"/>
        <scheme val="minor"/>
      </rPr>
      <t>Calculate Resilience</t>
    </r>
    <r>
      <rPr>
        <sz val="12"/>
        <color theme="1"/>
        <rFont val="Calibri"/>
        <family val="2"/>
        <scheme val="minor"/>
      </rPr>
      <t>"  to calculate the resilience value.</t>
    </r>
  </si>
  <si>
    <r>
      <t xml:space="preserve">This sheet will calculate the fragility function parameters as well as the </t>
    </r>
    <r>
      <rPr>
        <b/>
        <sz val="12"/>
        <color theme="1"/>
        <rFont val="Calibri"/>
        <family val="2"/>
        <scheme val="minor"/>
      </rPr>
      <t>Probabilities of Exceedance of Damage States, Probabilities of Damage States, Mean Damage Ratio, Expected Loss as well as Expected Recovery Time</t>
    </r>
    <r>
      <rPr>
        <sz val="12"/>
        <color theme="1"/>
        <rFont val="Calibri"/>
        <family val="2"/>
        <scheme val="minor"/>
      </rPr>
      <t xml:space="preserve"> for a given event and bridge. The required parameters for this sheet can be obtained from the previous two sheets and the </t>
    </r>
    <r>
      <rPr>
        <b/>
        <sz val="12"/>
        <color theme="1"/>
        <rFont val="Calibri"/>
        <family val="2"/>
        <scheme val="minor"/>
      </rPr>
      <t>HAZUS MH MR-3 Technical Manual</t>
    </r>
    <r>
      <rPr>
        <sz val="12"/>
        <color theme="1"/>
        <rFont val="Calibri"/>
        <family val="2"/>
        <scheme val="minor"/>
      </rPr>
      <t xml:space="preserve">. The color coding details for various parameters is provided in the sheet. </t>
    </r>
  </si>
  <si>
    <t>This sheet contains the data related to the final sources and hazards extracted from the python code. Before using this data, ensure that the time of update on the top cell correctly matches the most recent time of execution of the code.</t>
  </si>
  <si>
    <r>
      <rPr>
        <b/>
        <sz val="11"/>
        <color rgb="FFFF0000"/>
        <rFont val="Calibri"/>
        <family val="2"/>
        <scheme val="minor"/>
      </rPr>
      <t>**</t>
    </r>
    <r>
      <rPr>
        <b/>
        <u/>
        <sz val="11"/>
        <color rgb="FFFF0000"/>
        <rFont val="Calibri"/>
        <family val="2"/>
        <scheme val="minor"/>
      </rPr>
      <t>NOTE</t>
    </r>
    <r>
      <rPr>
        <b/>
        <sz val="11"/>
        <color rgb="FFFF0000"/>
        <rFont val="Calibri"/>
        <family val="2"/>
        <scheme val="minor"/>
      </rPr>
      <t>:</t>
    </r>
    <r>
      <rPr>
        <sz val="11"/>
        <color rgb="FFFF0000"/>
        <rFont val="Calibri"/>
        <family val="2"/>
        <scheme val="minor"/>
      </rPr>
      <t xml:space="preserve"> Do not change the names of the sheets, as doing so may cause some of the features to not work properly.</t>
    </r>
  </si>
  <si>
    <t>Replacement Cost (2019 $)</t>
  </si>
  <si>
    <t>Updated on: 23/07/2021 14:41:49</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</si>
</sst>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quot;$&quot;* #,##0.00_);_(&quot;$&quot;* \(#,##0.00\);_(&quot;$&quot;* &quot;-&quot;??_);_(@_)"/>
    <numFmt numFmtId="164" formatCode="0.000"/>
    <numFmt numFmtId="165" formatCode="&quot;$&quot;#,##0.00"/>
    <numFmt numFmtId="166" formatCode="0.000000"/>
  </numFmts>
  <fonts count="12" x14ac:knownFonts="1">
    <font>
      <sz val="11"/>
      <color theme="1"/>
      <name val="Calibri"/>
      <family val="2"/>
      <scheme val="minor"/>
    </font>
    <font>
      <b/>
      <sz val="11"/>
      <color theme="1"/>
      <name val="Calibri"/>
      <family val="2"/>
      <scheme val="minor"/>
    </font>
    <font>
      <sz val="9"/>
      <color rgb="FF333333"/>
      <name val="Helvetica Neue"/>
    </font>
    <font>
      <sz val="11"/>
      <color theme="1"/>
      <name val="Calibri"/>
      <family val="2"/>
      <scheme val="minor"/>
    </font>
    <font>
      <sz val="9"/>
      <color rgb="FF000000"/>
      <name val="Arial"/>
      <family val="2"/>
    </font>
    <font>
      <sz val="11"/>
      <color rgb="FF000000"/>
      <name val="Calibri"/>
      <family val="2"/>
    </font>
    <font>
      <sz val="11"/>
      <color rgb="FFFF0000"/>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b/>
      <sz val="11"/>
      <color rgb="FFFF0000"/>
      <name val="Calibri"/>
      <family val="2"/>
      <scheme val="minor"/>
    </font>
    <font>
      <b/>
      <u/>
      <sz val="11"/>
      <color rgb="FFFF0000"/>
      <name val="Calibri"/>
      <family val="2"/>
      <scheme val="minor"/>
    </font>
  </fonts>
  <fills count="8">
    <fill>
      <patternFill patternType="none"/>
    </fill>
    <fill>
      <patternFill patternType="gray125"/>
    </fill>
    <fill>
      <patternFill patternType="solid">
        <fgColor theme="4"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2" tint="-9.9978637043366805E-2"/>
        <bgColor indexed="64"/>
      </patternFill>
    </fill>
    <fill>
      <patternFill patternType="solid">
        <fgColor rgb="FF92D050"/>
        <bgColor indexed="64"/>
      </patternFill>
    </fill>
    <fill>
      <patternFill patternType="solid">
        <fgColor rgb="FFFFFF00"/>
        <bgColor indexed="64"/>
      </patternFill>
    </fill>
  </fills>
  <borders count="41">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diagonal/>
    </border>
  </borders>
  <cellStyleXfs count="2">
    <xf numFmtId="0" fontId="0" fillId="0" borderId="0"/>
    <xf numFmtId="44" fontId="3" fillId="0" borderId="0" applyFont="0" applyFill="0" applyBorder="0" applyAlignment="0" applyProtection="0"/>
  </cellStyleXfs>
  <cellXfs count="150">
    <xf numFmtId="0" fontId="0" fillId="0" borderId="0" xfId="0"/>
    <xf numFmtId="0" fontId="0" fillId="0" borderId="0" xfId="0" applyAlignment="1">
      <alignment wrapText="1"/>
    </xf>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4" xfId="0" applyBorder="1" applyAlignment="1">
      <alignment wrapText="1"/>
    </xf>
    <xf numFmtId="0" fontId="0" fillId="2" borderId="9" xfId="0" applyFill="1" applyBorder="1"/>
    <xf numFmtId="0" fontId="0" fillId="3" borderId="9" xfId="0" applyFill="1" applyBorder="1"/>
    <xf numFmtId="0" fontId="0" fillId="3" borderId="10" xfId="0" applyFill="1" applyBorder="1"/>
    <xf numFmtId="0" fontId="0" fillId="4" borderId="9" xfId="0" applyFill="1" applyBorder="1"/>
    <xf numFmtId="0" fontId="0" fillId="5" borderId="9" xfId="0" applyFill="1" applyBorder="1"/>
    <xf numFmtId="0" fontId="0" fillId="5" borderId="10" xfId="0" applyFill="1" applyBorder="1"/>
    <xf numFmtId="0" fontId="0" fillId="2" borderId="13" xfId="0" applyFill="1" applyBorder="1"/>
    <xf numFmtId="0" fontId="0" fillId="0" borderId="14" xfId="0" applyBorder="1"/>
    <xf numFmtId="0" fontId="0" fillId="0" borderId="15" xfId="0" applyBorder="1"/>
    <xf numFmtId="0" fontId="0" fillId="0" borderId="16" xfId="0" applyBorder="1"/>
    <xf numFmtId="0" fontId="0" fillId="0" borderId="1" xfId="0" applyBorder="1"/>
    <xf numFmtId="0" fontId="0" fillId="0" borderId="17" xfId="0" applyBorder="1"/>
    <xf numFmtId="0" fontId="0" fillId="0" borderId="18" xfId="0" applyBorder="1"/>
    <xf numFmtId="0" fontId="0" fillId="0" borderId="17" xfId="0" applyBorder="1" applyAlignment="1">
      <alignment wrapText="1"/>
    </xf>
    <xf numFmtId="0" fontId="0" fillId="4" borderId="19" xfId="0" applyFill="1" applyBorder="1"/>
    <xf numFmtId="0" fontId="0" fillId="0" borderId="20" xfId="0" applyBorder="1"/>
    <xf numFmtId="0" fontId="0" fillId="4" borderId="13" xfId="0" applyFill="1" applyBorder="1"/>
    <xf numFmtId="0" fontId="0" fillId="5" borderId="21" xfId="0" applyFill="1" applyBorder="1"/>
    <xf numFmtId="0" fontId="0" fillId="0" borderId="17" xfId="0" applyBorder="1" applyAlignment="1">
      <alignment horizontal="center" vertical="center" wrapText="1"/>
    </xf>
    <xf numFmtId="0" fontId="0" fillId="5" borderId="19" xfId="0" applyFill="1" applyBorder="1"/>
    <xf numFmtId="0" fontId="0" fillId="3" borderId="13" xfId="0" applyFill="1" applyBorder="1"/>
    <xf numFmtId="164" fontId="0" fillId="6" borderId="10" xfId="0" applyNumberFormat="1" applyFill="1" applyBorder="1"/>
    <xf numFmtId="164" fontId="0" fillId="6" borderId="22" xfId="0" applyNumberFormat="1" applyFill="1" applyBorder="1"/>
    <xf numFmtId="0" fontId="0" fillId="6" borderId="11" xfId="0" applyFill="1" applyBorder="1"/>
    <xf numFmtId="0" fontId="0" fillId="3" borderId="23" xfId="0" applyFill="1" applyBorder="1"/>
    <xf numFmtId="0" fontId="0" fillId="4" borderId="23" xfId="0" applyFill="1" applyBorder="1"/>
    <xf numFmtId="0" fontId="0" fillId="5" borderId="23" xfId="0" applyFill="1" applyBorder="1"/>
    <xf numFmtId="0" fontId="0" fillId="3" borderId="24" xfId="0" applyFill="1" applyBorder="1"/>
    <xf numFmtId="0" fontId="0" fillId="3" borderId="25" xfId="0" applyFill="1" applyBorder="1"/>
    <xf numFmtId="0" fontId="0" fillId="4" borderId="24" xfId="0" applyFill="1" applyBorder="1"/>
    <xf numFmtId="0" fontId="0" fillId="4" borderId="25" xfId="0" applyFill="1" applyBorder="1"/>
    <xf numFmtId="0" fontId="0" fillId="5" borderId="24" xfId="0" applyFill="1" applyBorder="1"/>
    <xf numFmtId="0" fontId="0" fillId="5" borderId="25" xfId="0" applyFill="1" applyBorder="1"/>
    <xf numFmtId="0" fontId="0" fillId="6" borderId="6" xfId="0" applyFill="1" applyBorder="1"/>
    <xf numFmtId="0" fontId="0" fillId="6" borderId="7" xfId="0" applyFill="1" applyBorder="1"/>
    <xf numFmtId="0" fontId="0" fillId="6" borderId="8" xfId="0" applyFill="1" applyBorder="1"/>
    <xf numFmtId="0" fontId="0" fillId="2" borderId="26" xfId="0" applyFont="1" applyFill="1" applyBorder="1"/>
    <xf numFmtId="0" fontId="0" fillId="2" borderId="12" xfId="0" applyFont="1" applyFill="1" applyBorder="1"/>
    <xf numFmtId="0" fontId="0" fillId="2" borderId="27" xfId="0" applyFont="1" applyFill="1" applyBorder="1"/>
    <xf numFmtId="0" fontId="0" fillId="6" borderId="13" xfId="0" applyFill="1" applyBorder="1"/>
    <xf numFmtId="164" fontId="0" fillId="0" borderId="18" xfId="0" applyNumberFormat="1" applyBorder="1"/>
    <xf numFmtId="0" fontId="0" fillId="5" borderId="28" xfId="0" applyFill="1" applyBorder="1"/>
    <xf numFmtId="0" fontId="0" fillId="5" borderId="29" xfId="0" applyFill="1" applyBorder="1"/>
    <xf numFmtId="0" fontId="0" fillId="5" borderId="22" xfId="0" applyFill="1" applyBorder="1"/>
    <xf numFmtId="0" fontId="0" fillId="5" borderId="30" xfId="0" applyFill="1" applyBorder="1"/>
    <xf numFmtId="0" fontId="0" fillId="0" borderId="14" xfId="0" applyBorder="1" applyAlignment="1">
      <alignment wrapText="1"/>
    </xf>
    <xf numFmtId="165" fontId="0" fillId="6" borderId="31" xfId="0" applyNumberFormat="1" applyFill="1" applyBorder="1"/>
    <xf numFmtId="0" fontId="0" fillId="6" borderId="31" xfId="0" applyFill="1" applyBorder="1"/>
    <xf numFmtId="1" fontId="0" fillId="6" borderId="31" xfId="0" applyNumberFormat="1" applyFill="1" applyBorder="1"/>
    <xf numFmtId="0" fontId="0" fillId="0" borderId="8" xfId="0" applyBorder="1"/>
    <xf numFmtId="0" fontId="0" fillId="0" borderId="0" xfId="0" applyFill="1" applyBorder="1"/>
    <xf numFmtId="0" fontId="0" fillId="0" borderId="0" xfId="0" applyAlignment="1">
      <alignment horizontal="center"/>
    </xf>
    <xf numFmtId="11" fontId="0" fillId="0" borderId="0" xfId="0" applyNumberFormat="1"/>
    <xf numFmtId="0" fontId="0" fillId="3" borderId="31" xfId="0" applyFill="1" applyBorder="1"/>
    <xf numFmtId="0" fontId="0" fillId="3" borderId="32" xfId="0" applyFill="1" applyBorder="1"/>
    <xf numFmtId="0" fontId="0" fillId="3" borderId="33" xfId="0" applyFill="1" applyBorder="1"/>
    <xf numFmtId="0" fontId="0" fillId="5" borderId="33" xfId="0" applyFill="1" applyBorder="1"/>
    <xf numFmtId="0" fontId="0" fillId="5" borderId="33" xfId="0" applyFill="1" applyBorder="1" applyAlignment="1">
      <alignment wrapText="1"/>
    </xf>
    <xf numFmtId="0" fontId="0" fillId="4" borderId="33" xfId="0" applyFill="1" applyBorder="1" applyAlignment="1">
      <alignment wrapText="1"/>
    </xf>
    <xf numFmtId="0" fontId="0" fillId="5" borderId="31" xfId="0" applyFill="1" applyBorder="1" applyAlignment="1">
      <alignment wrapText="1"/>
    </xf>
    <xf numFmtId="0" fontId="0" fillId="5" borderId="32" xfId="0" applyFill="1" applyBorder="1" applyAlignment="1">
      <alignment wrapText="1"/>
    </xf>
    <xf numFmtId="0" fontId="2" fillId="0" borderId="0" xfId="0" applyFont="1"/>
    <xf numFmtId="0" fontId="0" fillId="3" borderId="33" xfId="0" applyFill="1" applyBorder="1" applyAlignment="1">
      <alignment wrapText="1"/>
    </xf>
    <xf numFmtId="0" fontId="0" fillId="4" borderId="11" xfId="0" applyFill="1" applyBorder="1"/>
    <xf numFmtId="0" fontId="0" fillId="0" borderId="12" xfId="0" applyBorder="1"/>
    <xf numFmtId="0" fontId="0" fillId="0" borderId="27" xfId="0" applyBorder="1"/>
    <xf numFmtId="164" fontId="0" fillId="6" borderId="16" xfId="0" applyNumberFormat="1" applyFill="1" applyBorder="1"/>
    <xf numFmtId="44" fontId="0" fillId="0" borderId="0" xfId="1" applyFont="1"/>
    <xf numFmtId="4" fontId="4" fillId="0" borderId="0" xfId="0" applyNumberFormat="1" applyFont="1"/>
    <xf numFmtId="44" fontId="0" fillId="4" borderId="9" xfId="1" applyFont="1" applyFill="1" applyBorder="1"/>
    <xf numFmtId="166" fontId="0" fillId="0" borderId="0" xfId="1" applyNumberFormat="1" applyFont="1"/>
    <xf numFmtId="0" fontId="0" fillId="0" borderId="0" xfId="0" applyFill="1"/>
    <xf numFmtId="0" fontId="0" fillId="3" borderId="19" xfId="0" applyFill="1" applyBorder="1"/>
    <xf numFmtId="0" fontId="0" fillId="5" borderId="31" xfId="0" applyFill="1" applyBorder="1"/>
    <xf numFmtId="0" fontId="8" fillId="5" borderId="14" xfId="0" applyFont="1" applyFill="1" applyBorder="1"/>
    <xf numFmtId="0" fontId="8" fillId="5" borderId="15" xfId="0" applyFont="1" applyFill="1" applyBorder="1"/>
    <xf numFmtId="0" fontId="8" fillId="5" borderId="16" xfId="0" applyFont="1" applyFill="1" applyBorder="1"/>
    <xf numFmtId="0" fontId="9" fillId="0" borderId="0" xfId="0" applyFont="1" applyBorder="1" applyAlignment="1">
      <alignment horizontal="left" vertical="top" wrapText="1"/>
    </xf>
    <xf numFmtId="0" fontId="9" fillId="0" borderId="0" xfId="0" applyFont="1" applyBorder="1" applyAlignment="1">
      <alignment horizontal="left" wrapText="1"/>
    </xf>
    <xf numFmtId="0" fontId="6" fillId="0" borderId="0" xfId="0" applyFont="1" applyFill="1" applyBorder="1"/>
    <xf numFmtId="0" fontId="0" fillId="0" borderId="0" xfId="0" applyFill="1" applyBorder="1" applyAlignment="1">
      <alignment wrapText="1"/>
    </xf>
    <xf numFmtId="164" fontId="0" fillId="0" borderId="0" xfId="0" applyNumberFormat="1"/>
    <xf numFmtId="44" fontId="0" fillId="0" borderId="0" xfId="1" applyFont="1" applyAlignment="1">
      <alignment horizontal="left" vertical="top"/>
    </xf>
    <xf numFmtId="0" fontId="9" fillId="0" borderId="2" xfId="0" applyFont="1" applyBorder="1" applyAlignment="1">
      <alignment horizontal="left" wrapText="1"/>
    </xf>
    <xf numFmtId="0" fontId="9" fillId="0" borderId="3" xfId="0" applyFont="1" applyBorder="1" applyAlignment="1">
      <alignment horizontal="left" wrapText="1"/>
    </xf>
    <xf numFmtId="0" fontId="9" fillId="0" borderId="40" xfId="0" applyFont="1" applyBorder="1" applyAlignment="1">
      <alignment horizontal="left" wrapText="1"/>
    </xf>
    <xf numFmtId="0" fontId="9" fillId="0" borderId="4" xfId="0" applyFont="1" applyBorder="1" applyAlignment="1">
      <alignment horizontal="left" wrapText="1"/>
    </xf>
    <xf numFmtId="0" fontId="9" fillId="0" borderId="0" xfId="0" applyFont="1" applyBorder="1" applyAlignment="1">
      <alignment horizontal="left" wrapText="1"/>
    </xf>
    <xf numFmtId="0" fontId="9" fillId="0" borderId="5" xfId="0" applyFont="1" applyBorder="1" applyAlignment="1">
      <alignment horizontal="left" wrapText="1"/>
    </xf>
    <xf numFmtId="0" fontId="9" fillId="0" borderId="6" xfId="0" applyFont="1" applyBorder="1" applyAlignment="1">
      <alignment horizontal="left" wrapText="1"/>
    </xf>
    <xf numFmtId="0" fontId="9" fillId="0" borderId="7" xfId="0" applyFont="1" applyBorder="1" applyAlignment="1">
      <alignment horizontal="left" wrapText="1"/>
    </xf>
    <xf numFmtId="0" fontId="9" fillId="0" borderId="8" xfId="0" applyFont="1" applyBorder="1" applyAlignment="1">
      <alignment horizontal="left" wrapText="1"/>
    </xf>
    <xf numFmtId="0" fontId="9" fillId="0" borderId="2" xfId="0" applyFont="1" applyBorder="1" applyAlignment="1">
      <alignment horizontal="left" vertical="top" wrapText="1"/>
    </xf>
    <xf numFmtId="0" fontId="9" fillId="0" borderId="3" xfId="0" applyFont="1" applyBorder="1" applyAlignment="1">
      <alignment horizontal="left" vertical="top" wrapText="1"/>
    </xf>
    <xf numFmtId="0" fontId="9" fillId="0" borderId="40" xfId="0" applyFont="1" applyBorder="1" applyAlignment="1">
      <alignment horizontal="left" vertical="top" wrapText="1"/>
    </xf>
    <xf numFmtId="0" fontId="9" fillId="0" borderId="4" xfId="0" applyFont="1" applyBorder="1" applyAlignment="1">
      <alignment horizontal="left" vertical="top" wrapText="1"/>
    </xf>
    <xf numFmtId="0" fontId="9" fillId="0" borderId="0" xfId="0" applyFont="1" applyBorder="1" applyAlignment="1">
      <alignment horizontal="left" vertical="top" wrapText="1"/>
    </xf>
    <xf numFmtId="0" fontId="9" fillId="0" borderId="5" xfId="0" applyFont="1" applyBorder="1" applyAlignment="1">
      <alignment horizontal="left" vertical="top" wrapText="1"/>
    </xf>
    <xf numFmtId="0" fontId="9" fillId="0" borderId="6" xfId="0" applyFont="1" applyBorder="1" applyAlignment="1">
      <alignment horizontal="left" vertical="top" wrapText="1"/>
    </xf>
    <xf numFmtId="0" fontId="9" fillId="0" borderId="7" xfId="0" applyFont="1" applyBorder="1" applyAlignment="1">
      <alignment horizontal="left" vertical="top" wrapText="1"/>
    </xf>
    <xf numFmtId="0" fontId="9" fillId="0" borderId="8" xfId="0" applyFont="1" applyBorder="1" applyAlignment="1">
      <alignment horizontal="left" vertical="top" wrapText="1"/>
    </xf>
    <xf numFmtId="0" fontId="6" fillId="7" borderId="2" xfId="0" applyFont="1" applyFill="1" applyBorder="1" applyAlignment="1">
      <alignment horizontal="left" wrapText="1"/>
    </xf>
    <xf numFmtId="0" fontId="6" fillId="7" borderId="3" xfId="0" applyFont="1" applyFill="1" applyBorder="1" applyAlignment="1">
      <alignment horizontal="left" wrapText="1"/>
    </xf>
    <xf numFmtId="0" fontId="6" fillId="7" borderId="40" xfId="0" applyFont="1" applyFill="1" applyBorder="1" applyAlignment="1">
      <alignment horizontal="left" wrapText="1"/>
    </xf>
    <xf numFmtId="0" fontId="6" fillId="7" borderId="4" xfId="0" applyFont="1" applyFill="1" applyBorder="1" applyAlignment="1">
      <alignment horizontal="left" wrapText="1"/>
    </xf>
    <xf numFmtId="0" fontId="6" fillId="7" borderId="0" xfId="0" applyFont="1" applyFill="1" applyBorder="1" applyAlignment="1">
      <alignment horizontal="left" wrapText="1"/>
    </xf>
    <xf numFmtId="0" fontId="6" fillId="7" borderId="5" xfId="0" applyFont="1" applyFill="1" applyBorder="1" applyAlignment="1">
      <alignment horizontal="left" wrapText="1"/>
    </xf>
    <xf numFmtId="0" fontId="6" fillId="7" borderId="6" xfId="0" applyFont="1" applyFill="1" applyBorder="1" applyAlignment="1">
      <alignment horizontal="left" wrapText="1"/>
    </xf>
    <xf numFmtId="0" fontId="6" fillId="7" borderId="7" xfId="0" applyFont="1" applyFill="1" applyBorder="1" applyAlignment="1">
      <alignment horizontal="left" wrapText="1"/>
    </xf>
    <xf numFmtId="0" fontId="6" fillId="7" borderId="8" xfId="0" applyFont="1" applyFill="1" applyBorder="1" applyAlignment="1">
      <alignment horizontal="left" wrapText="1"/>
    </xf>
    <xf numFmtId="0" fontId="8" fillId="0" borderId="2" xfId="0" applyFont="1" applyBorder="1" applyAlignment="1">
      <alignment horizontal="center" vertical="center" wrapText="1"/>
    </xf>
    <xf numFmtId="0" fontId="8" fillId="0" borderId="3" xfId="0" applyFont="1" applyBorder="1" applyAlignment="1">
      <alignment horizontal="center" vertical="center" wrapText="1"/>
    </xf>
    <xf numFmtId="0" fontId="8" fillId="0" borderId="40" xfId="0" applyFont="1" applyBorder="1" applyAlignment="1">
      <alignment horizontal="center" vertical="center" wrapText="1"/>
    </xf>
    <xf numFmtId="0" fontId="8" fillId="0" borderId="4" xfId="0" applyFont="1" applyBorder="1" applyAlignment="1">
      <alignment horizontal="center" vertical="center" wrapText="1"/>
    </xf>
    <xf numFmtId="0" fontId="8" fillId="0" borderId="0" xfId="0" applyFont="1" applyBorder="1" applyAlignment="1">
      <alignment horizontal="center" vertical="center" wrapText="1"/>
    </xf>
    <xf numFmtId="0" fontId="8" fillId="0" borderId="5" xfId="0" applyFont="1" applyBorder="1" applyAlignment="1">
      <alignment horizontal="center" vertical="center" wrapText="1"/>
    </xf>
    <xf numFmtId="0" fontId="8" fillId="0" borderId="6" xfId="0" applyFont="1" applyBorder="1" applyAlignment="1">
      <alignment horizontal="center" vertical="center" wrapText="1"/>
    </xf>
    <xf numFmtId="0" fontId="8" fillId="0" borderId="7" xfId="0" applyFont="1" applyBorder="1" applyAlignment="1">
      <alignment horizontal="center" vertical="center" wrapText="1"/>
    </xf>
    <xf numFmtId="0" fontId="8" fillId="0" borderId="8" xfId="0" applyFont="1" applyBorder="1" applyAlignment="1">
      <alignment horizontal="center" vertical="center" wrapText="1"/>
    </xf>
    <xf numFmtId="0" fontId="0" fillId="6" borderId="39" xfId="0" applyFill="1" applyBorder="1" applyAlignment="1">
      <alignment horizontal="left" vertical="center"/>
    </xf>
    <xf numFmtId="0" fontId="0" fillId="6" borderId="10" xfId="0" applyFill="1" applyBorder="1" applyAlignment="1">
      <alignment horizontal="left" vertical="center"/>
    </xf>
    <xf numFmtId="0" fontId="0" fillId="6" borderId="21" xfId="0" applyFill="1" applyBorder="1" applyAlignment="1">
      <alignment horizontal="left" vertical="center"/>
    </xf>
    <xf numFmtId="0" fontId="0" fillId="0" borderId="34" xfId="0" applyBorder="1" applyAlignment="1">
      <alignment horizontal="left"/>
    </xf>
    <xf numFmtId="0" fontId="0" fillId="0" borderId="35" xfId="0" applyBorder="1" applyAlignment="1">
      <alignment horizontal="left"/>
    </xf>
    <xf numFmtId="0" fontId="0" fillId="0" borderId="36" xfId="0" applyBorder="1" applyAlignment="1">
      <alignment horizontal="left"/>
    </xf>
    <xf numFmtId="0" fontId="0" fillId="2" borderId="37" xfId="0" applyFont="1" applyFill="1" applyBorder="1" applyAlignment="1">
      <alignment horizontal="left" vertical="center"/>
    </xf>
    <xf numFmtId="0" fontId="0" fillId="2" borderId="9" xfId="0" applyFont="1" applyFill="1" applyBorder="1" applyAlignment="1">
      <alignment horizontal="left" vertical="center"/>
    </xf>
    <xf numFmtId="0" fontId="0" fillId="2" borderId="38" xfId="0" applyFont="1" applyFill="1" applyBorder="1" applyAlignment="1">
      <alignment horizontal="left" vertical="center"/>
    </xf>
    <xf numFmtId="0" fontId="0" fillId="3" borderId="37" xfId="0" applyFill="1" applyBorder="1" applyAlignment="1">
      <alignment horizontal="left" vertical="center"/>
    </xf>
    <xf numFmtId="0" fontId="0" fillId="3" borderId="9" xfId="0" applyFill="1" applyBorder="1" applyAlignment="1">
      <alignment horizontal="left" vertical="center"/>
    </xf>
    <xf numFmtId="0" fontId="0" fillId="3" borderId="38" xfId="0" applyFill="1" applyBorder="1" applyAlignment="1">
      <alignment horizontal="left" vertical="center"/>
    </xf>
    <xf numFmtId="0" fontId="0" fillId="4" borderId="37" xfId="0" applyFill="1" applyBorder="1" applyAlignment="1">
      <alignment horizontal="left" vertical="center"/>
    </xf>
    <xf numFmtId="0" fontId="0" fillId="4" borderId="9" xfId="0" applyFill="1" applyBorder="1" applyAlignment="1">
      <alignment horizontal="left" vertical="center"/>
    </xf>
    <xf numFmtId="0" fontId="0" fillId="4" borderId="38" xfId="0" applyFill="1" applyBorder="1" applyAlignment="1">
      <alignment horizontal="left" vertical="center"/>
    </xf>
    <xf numFmtId="0" fontId="0" fillId="5" borderId="37" xfId="0" applyFill="1" applyBorder="1" applyAlignment="1">
      <alignment horizontal="left" vertical="center"/>
    </xf>
    <xf numFmtId="0" fontId="0" fillId="5" borderId="9" xfId="0" applyFill="1" applyBorder="1" applyAlignment="1">
      <alignment horizontal="left" vertical="center"/>
    </xf>
    <xf numFmtId="0" fontId="0" fillId="5" borderId="38" xfId="0" applyFill="1" applyBorder="1" applyAlignment="1">
      <alignment horizontal="left" vertical="center"/>
    </xf>
    <xf numFmtId="0" fontId="0" fillId="0" borderId="17" xfId="0" applyBorder="1" applyAlignment="1">
      <alignment horizontal="left" vertical="center" wrapText="1"/>
    </xf>
    <xf numFmtId="0" fontId="1" fillId="0" borderId="9" xfId="0" applyFont="1" applyBorder="1"/>
    <xf numFmtId="0" fontId="1" fillId="0" borderId="9" xfId="0" applyFont="1" applyBorder="1" applyAlignment="1">
      <alignment wrapText="1"/>
    </xf>
  </cellXfs>
  <cellStyles count="2">
    <cellStyle name="Currency" xfId="1"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1276350</xdr:colOff>
          <xdr:row>2</xdr:row>
          <xdr:rowOff>19050</xdr:rowOff>
        </xdr:from>
        <xdr:to>
          <xdr:col>11</xdr:col>
          <xdr:colOff>19050</xdr:colOff>
          <xdr:row>3</xdr:row>
          <xdr:rowOff>9525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Calculate Resilience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39"/>
  <sheetViews>
    <sheetView tabSelected="1" topLeftCell="A25" workbookViewId="0">
      <selection activeCell="M14" sqref="M14"/>
    </sheetView>
  </sheetViews>
  <sheetFormatPr defaultRowHeight="15" x14ac:dyDescent="0.25"/>
  <sheetData>
    <row r="1" spans="1:24" ht="15.75" thickBot="1" x14ac:dyDescent="0.3"/>
    <row r="2" spans="1:24" ht="15" customHeight="1" x14ac:dyDescent="0.25">
      <c r="A2" s="120" t="s">
        <v>136</v>
      </c>
      <c r="B2" s="121"/>
      <c r="C2" s="121"/>
      <c r="D2" s="121"/>
      <c r="E2" s="121"/>
      <c r="F2" s="121"/>
      <c r="G2" s="121"/>
      <c r="H2" s="121"/>
      <c r="I2" s="121"/>
      <c r="J2" s="122"/>
    </row>
    <row r="3" spans="1:24" ht="15" customHeight="1" x14ac:dyDescent="0.25">
      <c r="A3" s="123"/>
      <c r="B3" s="124"/>
      <c r="C3" s="124"/>
      <c r="D3" s="124"/>
      <c r="E3" s="124"/>
      <c r="F3" s="124"/>
      <c r="G3" s="124"/>
      <c r="H3" s="124"/>
      <c r="I3" s="124"/>
      <c r="J3" s="125"/>
    </row>
    <row r="4" spans="1:24" ht="15" customHeight="1" thickBot="1" x14ac:dyDescent="0.3">
      <c r="A4" s="126"/>
      <c r="B4" s="127"/>
      <c r="C4" s="127"/>
      <c r="D4" s="127"/>
      <c r="E4" s="127"/>
      <c r="F4" s="127"/>
      <c r="G4" s="127"/>
      <c r="H4" s="127"/>
      <c r="I4" s="127"/>
      <c r="J4" s="128"/>
    </row>
    <row r="5" spans="1:24" ht="15.75" thickBot="1" x14ac:dyDescent="0.3"/>
    <row r="6" spans="1:24" ht="19.5" thickBot="1" x14ac:dyDescent="0.35">
      <c r="A6" s="84" t="s">
        <v>132</v>
      </c>
      <c r="B6" s="85"/>
      <c r="C6" s="85"/>
      <c r="D6" s="85"/>
      <c r="E6" s="85"/>
      <c r="F6" s="85"/>
      <c r="G6" s="85"/>
      <c r="H6" s="85"/>
      <c r="I6" s="86"/>
    </row>
    <row r="7" spans="1:24" s="1" customFormat="1" ht="15" customHeight="1" x14ac:dyDescent="0.25">
      <c r="A7" s="96" t="s">
        <v>140</v>
      </c>
      <c r="B7" s="97"/>
      <c r="C7" s="97"/>
      <c r="D7" s="97"/>
      <c r="E7" s="97"/>
      <c r="F7" s="97"/>
      <c r="G7" s="97"/>
      <c r="H7" s="97"/>
      <c r="I7" s="98"/>
      <c r="M7" s="111" t="s">
        <v>141</v>
      </c>
      <c r="N7" s="112"/>
      <c r="O7" s="112"/>
      <c r="P7" s="112"/>
      <c r="Q7" s="113"/>
      <c r="R7" s="89"/>
      <c r="S7" s="89"/>
      <c r="T7" s="89"/>
      <c r="U7" s="89"/>
      <c r="V7" s="89"/>
      <c r="W7" s="89"/>
      <c r="X7" s="90"/>
    </row>
    <row r="8" spans="1:24" x14ac:dyDescent="0.25">
      <c r="A8" s="96"/>
      <c r="B8" s="97"/>
      <c r="C8" s="97"/>
      <c r="D8" s="97"/>
      <c r="E8" s="97"/>
      <c r="F8" s="97"/>
      <c r="G8" s="97"/>
      <c r="H8" s="97"/>
      <c r="I8" s="98"/>
      <c r="M8" s="114"/>
      <c r="N8" s="115"/>
      <c r="O8" s="115"/>
      <c r="P8" s="115"/>
      <c r="Q8" s="116"/>
    </row>
    <row r="9" spans="1:24" ht="15.75" thickBot="1" x14ac:dyDescent="0.3">
      <c r="A9" s="99"/>
      <c r="B9" s="100"/>
      <c r="C9" s="100"/>
      <c r="D9" s="100"/>
      <c r="E9" s="100"/>
      <c r="F9" s="100"/>
      <c r="G9" s="100"/>
      <c r="H9" s="100"/>
      <c r="I9" s="101"/>
      <c r="M9" s="117"/>
      <c r="N9" s="118"/>
      <c r="O9" s="118"/>
      <c r="P9" s="118"/>
      <c r="Q9" s="119"/>
    </row>
    <row r="11" spans="1:24" ht="15.75" thickBot="1" x14ac:dyDescent="0.3"/>
    <row r="12" spans="1:24" ht="19.5" thickBot="1" x14ac:dyDescent="0.35">
      <c r="A12" s="84" t="s">
        <v>134</v>
      </c>
      <c r="B12" s="85"/>
      <c r="C12" s="85"/>
      <c r="D12" s="85"/>
      <c r="E12" s="85"/>
      <c r="F12" s="85"/>
      <c r="G12" s="85"/>
      <c r="H12" s="85"/>
      <c r="I12" s="86"/>
    </row>
    <row r="13" spans="1:24" ht="15" customHeight="1" x14ac:dyDescent="0.25">
      <c r="A13" s="102" t="s">
        <v>138</v>
      </c>
      <c r="B13" s="103"/>
      <c r="C13" s="103"/>
      <c r="D13" s="103"/>
      <c r="E13" s="103"/>
      <c r="F13" s="103"/>
      <c r="G13" s="103"/>
      <c r="H13" s="103"/>
      <c r="I13" s="104"/>
    </row>
    <row r="14" spans="1:24" ht="15" customHeight="1" x14ac:dyDescent="0.25">
      <c r="A14" s="105"/>
      <c r="B14" s="106"/>
      <c r="C14" s="106"/>
      <c r="D14" s="106"/>
      <c r="E14" s="106"/>
      <c r="F14" s="106"/>
      <c r="G14" s="106"/>
      <c r="H14" s="106"/>
      <c r="I14" s="107"/>
    </row>
    <row r="15" spans="1:24" ht="15" customHeight="1" x14ac:dyDescent="0.25">
      <c r="A15" s="105"/>
      <c r="B15" s="106"/>
      <c r="C15" s="106"/>
      <c r="D15" s="106"/>
      <c r="E15" s="106"/>
      <c r="F15" s="106"/>
      <c r="G15" s="106"/>
      <c r="H15" s="106"/>
      <c r="I15" s="107"/>
    </row>
    <row r="16" spans="1:24" ht="15" customHeight="1" x14ac:dyDescent="0.25">
      <c r="A16" s="105"/>
      <c r="B16" s="106"/>
      <c r="C16" s="106"/>
      <c r="D16" s="106"/>
      <c r="E16" s="106"/>
      <c r="F16" s="106"/>
      <c r="G16" s="106"/>
      <c r="H16" s="106"/>
      <c r="I16" s="107"/>
    </row>
    <row r="17" spans="1:9" ht="15" customHeight="1" x14ac:dyDescent="0.25">
      <c r="A17" s="105"/>
      <c r="B17" s="106"/>
      <c r="C17" s="106"/>
      <c r="D17" s="106"/>
      <c r="E17" s="106"/>
      <c r="F17" s="106"/>
      <c r="G17" s="106"/>
      <c r="H17" s="106"/>
      <c r="I17" s="107"/>
    </row>
    <row r="18" spans="1:9" ht="15.75" customHeight="1" x14ac:dyDescent="0.25">
      <c r="A18" s="105"/>
      <c r="B18" s="106"/>
      <c r="C18" s="106"/>
      <c r="D18" s="106"/>
      <c r="E18" s="106"/>
      <c r="F18" s="106"/>
      <c r="G18" s="106"/>
      <c r="H18" s="106"/>
      <c r="I18" s="107"/>
    </row>
    <row r="19" spans="1:9" ht="15.75" customHeight="1" x14ac:dyDescent="0.25">
      <c r="A19" s="105"/>
      <c r="B19" s="106"/>
      <c r="C19" s="106"/>
      <c r="D19" s="106"/>
      <c r="E19" s="106"/>
      <c r="F19" s="106"/>
      <c r="G19" s="106"/>
      <c r="H19" s="106"/>
      <c r="I19" s="107"/>
    </row>
    <row r="20" spans="1:9" ht="15.75" thickBot="1" x14ac:dyDescent="0.3">
      <c r="A20" s="108"/>
      <c r="B20" s="109"/>
      <c r="C20" s="109"/>
      <c r="D20" s="109"/>
      <c r="E20" s="109"/>
      <c r="F20" s="109"/>
      <c r="G20" s="109"/>
      <c r="H20" s="109"/>
      <c r="I20" s="110"/>
    </row>
    <row r="21" spans="1:9" ht="15.75" x14ac:dyDescent="0.25">
      <c r="A21" s="87"/>
      <c r="B21" s="87"/>
      <c r="C21" s="87"/>
      <c r="D21" s="87"/>
      <c r="E21" s="87"/>
      <c r="F21" s="87"/>
      <c r="G21" s="87"/>
      <c r="H21" s="87"/>
      <c r="I21" s="87"/>
    </row>
    <row r="22" spans="1:9" ht="15.75" thickBot="1" x14ac:dyDescent="0.3"/>
    <row r="23" spans="1:9" ht="19.5" thickBot="1" x14ac:dyDescent="0.35">
      <c r="A23" s="84" t="s">
        <v>133</v>
      </c>
      <c r="B23" s="85"/>
      <c r="C23" s="85"/>
      <c r="D23" s="85"/>
      <c r="E23" s="85"/>
      <c r="F23" s="85"/>
      <c r="G23" s="85"/>
      <c r="H23" s="85"/>
      <c r="I23" s="86"/>
    </row>
    <row r="24" spans="1:9" ht="15" customHeight="1" x14ac:dyDescent="0.25">
      <c r="A24" s="102" t="s">
        <v>139</v>
      </c>
      <c r="B24" s="103"/>
      <c r="C24" s="103"/>
      <c r="D24" s="103"/>
      <c r="E24" s="103"/>
      <c r="F24" s="103"/>
      <c r="G24" s="103"/>
      <c r="H24" s="103"/>
      <c r="I24" s="104"/>
    </row>
    <row r="25" spans="1:9" ht="15" customHeight="1" x14ac:dyDescent="0.25">
      <c r="A25" s="105"/>
      <c r="B25" s="106"/>
      <c r="C25" s="106"/>
      <c r="D25" s="106"/>
      <c r="E25" s="106"/>
      <c r="F25" s="106"/>
      <c r="G25" s="106"/>
      <c r="H25" s="106"/>
      <c r="I25" s="107"/>
    </row>
    <row r="26" spans="1:9" ht="15" customHeight="1" x14ac:dyDescent="0.25">
      <c r="A26" s="105"/>
      <c r="B26" s="106"/>
      <c r="C26" s="106"/>
      <c r="D26" s="106"/>
      <c r="E26" s="106"/>
      <c r="F26" s="106"/>
      <c r="G26" s="106"/>
      <c r="H26" s="106"/>
      <c r="I26" s="107"/>
    </row>
    <row r="27" spans="1:9" ht="15" customHeight="1" x14ac:dyDescent="0.25">
      <c r="A27" s="105"/>
      <c r="B27" s="106"/>
      <c r="C27" s="106"/>
      <c r="D27" s="106"/>
      <c r="E27" s="106"/>
      <c r="F27" s="106"/>
      <c r="G27" s="106"/>
      <c r="H27" s="106"/>
      <c r="I27" s="107"/>
    </row>
    <row r="28" spans="1:9" ht="15" customHeight="1" x14ac:dyDescent="0.25">
      <c r="A28" s="105"/>
      <c r="B28" s="106"/>
      <c r="C28" s="106"/>
      <c r="D28" s="106"/>
      <c r="E28" s="106"/>
      <c r="F28" s="106"/>
      <c r="G28" s="106"/>
      <c r="H28" s="106"/>
      <c r="I28" s="107"/>
    </row>
    <row r="29" spans="1:9" ht="15.75" customHeight="1" x14ac:dyDescent="0.25">
      <c r="A29" s="105"/>
      <c r="B29" s="106"/>
      <c r="C29" s="106"/>
      <c r="D29" s="106"/>
      <c r="E29" s="106"/>
      <c r="F29" s="106"/>
      <c r="G29" s="106"/>
      <c r="H29" s="106"/>
      <c r="I29" s="107"/>
    </row>
    <row r="30" spans="1:9" ht="15.75" thickBot="1" x14ac:dyDescent="0.3">
      <c r="A30" s="108"/>
      <c r="B30" s="109"/>
      <c r="C30" s="109"/>
      <c r="D30" s="109"/>
      <c r="E30" s="109"/>
      <c r="F30" s="109"/>
      <c r="G30" s="109"/>
      <c r="H30" s="109"/>
      <c r="I30" s="110"/>
    </row>
    <row r="31" spans="1:9" ht="15.75" x14ac:dyDescent="0.25">
      <c r="A31" s="87"/>
      <c r="B31" s="87"/>
      <c r="C31" s="87"/>
      <c r="D31" s="87"/>
      <c r="E31" s="87"/>
      <c r="F31" s="87"/>
      <c r="G31" s="87"/>
      <c r="H31" s="87"/>
      <c r="I31" s="87"/>
    </row>
    <row r="32" spans="1:9" ht="15.75" thickBot="1" x14ac:dyDescent="0.3"/>
    <row r="33" spans="1:11" ht="19.5" thickBot="1" x14ac:dyDescent="0.35">
      <c r="A33" s="84" t="s">
        <v>137</v>
      </c>
      <c r="B33" s="85"/>
      <c r="C33" s="85"/>
      <c r="D33" s="85"/>
      <c r="E33" s="85"/>
      <c r="F33" s="85"/>
      <c r="G33" s="85"/>
      <c r="H33" s="85"/>
      <c r="I33" s="86"/>
    </row>
    <row r="34" spans="1:11" ht="15" customHeight="1" x14ac:dyDescent="0.25">
      <c r="A34" s="93" t="s">
        <v>135</v>
      </c>
      <c r="B34" s="94"/>
      <c r="C34" s="94"/>
      <c r="D34" s="94"/>
      <c r="E34" s="94"/>
      <c r="F34" s="94"/>
      <c r="G34" s="94"/>
      <c r="H34" s="94"/>
      <c r="I34" s="95"/>
    </row>
    <row r="35" spans="1:11" x14ac:dyDescent="0.25">
      <c r="A35" s="96"/>
      <c r="B35" s="97"/>
      <c r="C35" s="97"/>
      <c r="D35" s="97"/>
      <c r="E35" s="97"/>
      <c r="F35" s="97"/>
      <c r="G35" s="97"/>
      <c r="H35" s="97"/>
      <c r="I35" s="98"/>
    </row>
    <row r="36" spans="1:11" ht="15.75" thickBot="1" x14ac:dyDescent="0.3">
      <c r="A36" s="99"/>
      <c r="B36" s="100"/>
      <c r="C36" s="100"/>
      <c r="D36" s="100"/>
      <c r="E36" s="100"/>
      <c r="F36" s="100"/>
      <c r="G36" s="100"/>
      <c r="H36" s="100"/>
      <c r="I36" s="101"/>
    </row>
    <row r="37" spans="1:11" ht="15.75" x14ac:dyDescent="0.25">
      <c r="A37" s="88"/>
      <c r="B37" s="88"/>
      <c r="C37" s="88"/>
      <c r="D37" s="88"/>
      <c r="E37" s="88"/>
      <c r="F37" s="88"/>
      <c r="G37" s="88"/>
      <c r="H37" s="88"/>
      <c r="I37" s="88"/>
    </row>
    <row r="39" spans="1:11" x14ac:dyDescent="0.25">
      <c r="A39" s="89"/>
      <c r="B39" s="89"/>
      <c r="C39" s="89"/>
      <c r="D39" s="89"/>
      <c r="E39" s="89"/>
      <c r="F39" s="89"/>
      <c r="G39" s="89"/>
      <c r="H39" s="89"/>
      <c r="I39" s="89"/>
      <c r="J39" s="89"/>
      <c r="K39" s="89"/>
    </row>
  </sheetData>
  <mergeCells count="6">
    <mergeCell ref="A34:I36"/>
    <mergeCell ref="A24:I30"/>
    <mergeCell ref="A13:I20"/>
    <mergeCell ref="M7:Q9"/>
    <mergeCell ref="A2:J4"/>
    <mergeCell ref="A7:I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31"/>
  <sheetViews>
    <sheetView workbookViewId="0">
      <pane ySplit="1" topLeftCell="A2" activePane="bottomLeft" state="frozen"/>
      <selection pane="bottomLeft" activeCell="D16" sqref="D16"/>
    </sheetView>
  </sheetViews>
  <sheetFormatPr defaultRowHeight="15" x14ac:dyDescent="0.25"/>
  <cols>
    <col min="1" max="1" width="19.85546875" customWidth="1"/>
    <col min="3" max="3" width="8.140625" customWidth="1"/>
    <col min="5" max="5" width="16.42578125" bestFit="1" customWidth="1"/>
    <col min="6" max="6" width="26.85546875" bestFit="1" customWidth="1"/>
    <col min="7" max="7" width="23.28515625" bestFit="1" customWidth="1"/>
    <col min="12" max="12" width="10.7109375" bestFit="1" customWidth="1"/>
    <col min="14" max="14" width="12.28515625" customWidth="1"/>
  </cols>
  <sheetData>
    <row r="1" spans="1:17" ht="30" x14ac:dyDescent="0.25">
      <c r="A1" s="149" t="s">
        <v>143</v>
      </c>
      <c r="B1" s="149" t="s">
        <v>73</v>
      </c>
      <c r="C1" s="149" t="s">
        <v>74</v>
      </c>
      <c r="D1" s="149" t="s">
        <v>75</v>
      </c>
      <c r="E1" s="149" t="s">
        <v>76</v>
      </c>
      <c r="F1" s="149" t="s">
        <v>77</v>
      </c>
      <c r="G1" s="149" t="s">
        <v>78</v>
      </c>
      <c r="H1" s="149" t="s">
        <v>79</v>
      </c>
      <c r="I1" s="149" t="s">
        <v>80</v>
      </c>
      <c r="J1" s="149" t="s">
        <v>81</v>
      </c>
      <c r="K1" s="149" t="s">
        <v>82</v>
      </c>
      <c r="L1" s="149" t="s">
        <v>83</v>
      </c>
      <c r="M1" s="149" t="s">
        <v>84</v>
      </c>
      <c r="N1" s="149" t="s">
        <v>85</v>
      </c>
      <c r="O1" s="149" t="s">
        <v>86</v>
      </c>
      <c r="P1" s="149" t="s">
        <v>87</v>
      </c>
      <c r="Q1" s="149" t="s">
        <v>62</v>
      </c>
    </row>
    <row r="2" spans="1:17" x14ac:dyDescent="0.25">
      <c r="A2" s="148">
        <v>0</v>
      </c>
      <c r="B2" t="s">
        <v>103</v>
      </c>
      <c r="C2">
        <v>475</v>
      </c>
      <c r="D2" t="s">
        <v>62</v>
      </c>
      <c r="E2" t="s">
        <v>89</v>
      </c>
      <c r="F2" t="s">
        <v>93</v>
      </c>
      <c r="G2" t="s">
        <v>91</v>
      </c>
      <c r="H2">
        <v>16.135131999999999</v>
      </c>
      <c r="I2">
        <v>7.8647106999999998</v>
      </c>
      <c r="J2">
        <v>0.80149241999999998</v>
      </c>
      <c r="K2">
        <v>37.418633</v>
      </c>
      <c r="L2">
        <v>-122.262</v>
      </c>
      <c r="M2">
        <v>232.57796999999999</v>
      </c>
      <c r="N2">
        <v>16.13</v>
      </c>
      <c r="O2">
        <v>0.17609738362151359</v>
      </c>
      <c r="P2">
        <v>0.44453097818334392</v>
      </c>
      <c r="Q2">
        <v>0.17609738362151359</v>
      </c>
    </row>
    <row r="3" spans="1:17" x14ac:dyDescent="0.25">
      <c r="A3" s="148">
        <v>1</v>
      </c>
      <c r="B3" t="s">
        <v>103</v>
      </c>
      <c r="C3">
        <v>475</v>
      </c>
      <c r="D3" t="s">
        <v>62</v>
      </c>
      <c r="E3" t="s">
        <v>92</v>
      </c>
      <c r="F3" t="s">
        <v>93</v>
      </c>
      <c r="G3" t="s">
        <v>91</v>
      </c>
      <c r="H3">
        <v>16.135131999999999</v>
      </c>
      <c r="I3">
        <v>7.8632999999999997</v>
      </c>
      <c r="J3">
        <v>0.80200077999999997</v>
      </c>
      <c r="K3">
        <v>37.418633</v>
      </c>
      <c r="L3">
        <v>-122.262</v>
      </c>
      <c r="M3">
        <v>232.57796999999999</v>
      </c>
      <c r="N3">
        <v>15.97</v>
      </c>
      <c r="O3">
        <v>0.17598825704893337</v>
      </c>
      <c r="P3">
        <v>0.4443333574919297</v>
      </c>
      <c r="Q3">
        <v>0.17598825704893337</v>
      </c>
    </row>
    <row r="4" spans="1:17" x14ac:dyDescent="0.25">
      <c r="A4" s="148">
        <v>2</v>
      </c>
      <c r="B4" t="s">
        <v>103</v>
      </c>
      <c r="C4">
        <v>975</v>
      </c>
      <c r="D4" t="s">
        <v>62</v>
      </c>
      <c r="E4" t="s">
        <v>89</v>
      </c>
      <c r="F4" t="s">
        <v>93</v>
      </c>
      <c r="G4" t="s">
        <v>91</v>
      </c>
      <c r="H4">
        <v>16.135131999999999</v>
      </c>
      <c r="I4">
        <v>7.8844880000000002</v>
      </c>
      <c r="J4">
        <v>1.1932506000000001</v>
      </c>
      <c r="K4">
        <v>37.418633</v>
      </c>
      <c r="L4">
        <v>-122.262</v>
      </c>
      <c r="M4">
        <v>232.57796999999999</v>
      </c>
      <c r="N4">
        <v>18.54</v>
      </c>
      <c r="O4">
        <v>0.17763145579627063</v>
      </c>
      <c r="P4">
        <v>0.4473061559172789</v>
      </c>
      <c r="Q4">
        <v>0.17763145579627063</v>
      </c>
    </row>
    <row r="5" spans="1:17" x14ac:dyDescent="0.25">
      <c r="A5" s="148">
        <v>3</v>
      </c>
      <c r="B5" t="s">
        <v>103</v>
      </c>
      <c r="C5">
        <v>975</v>
      </c>
      <c r="D5" t="s">
        <v>62</v>
      </c>
      <c r="E5" t="s">
        <v>92</v>
      </c>
      <c r="F5" t="s">
        <v>93</v>
      </c>
      <c r="G5" t="s">
        <v>91</v>
      </c>
      <c r="H5">
        <v>16.135131999999999</v>
      </c>
      <c r="I5">
        <v>7.8832195</v>
      </c>
      <c r="J5">
        <v>1.1936712</v>
      </c>
      <c r="K5">
        <v>37.418633</v>
      </c>
      <c r="L5">
        <v>-122.262</v>
      </c>
      <c r="M5">
        <v>232.57796999999999</v>
      </c>
      <c r="N5">
        <v>18.350000000000001</v>
      </c>
      <c r="O5">
        <v>0.17753282805668763</v>
      </c>
      <c r="P5">
        <v>0.44712789884997872</v>
      </c>
      <c r="Q5">
        <v>0.17753282805668763</v>
      </c>
    </row>
    <row r="6" spans="1:17" x14ac:dyDescent="0.25">
      <c r="A6" s="148">
        <v>4</v>
      </c>
      <c r="B6" t="s">
        <v>103</v>
      </c>
      <c r="C6">
        <v>2475</v>
      </c>
      <c r="D6" t="s">
        <v>62</v>
      </c>
      <c r="E6" t="s">
        <v>89</v>
      </c>
      <c r="F6" t="s">
        <v>93</v>
      </c>
      <c r="G6" t="s">
        <v>91</v>
      </c>
      <c r="H6">
        <v>16.135131999999999</v>
      </c>
      <c r="I6">
        <v>7.9076813000000001</v>
      </c>
      <c r="J6">
        <v>1.6029869000000001</v>
      </c>
      <c r="K6">
        <v>37.418633</v>
      </c>
      <c r="L6">
        <v>-122.262</v>
      </c>
      <c r="M6">
        <v>232.57796999999999</v>
      </c>
      <c r="N6">
        <v>21.39</v>
      </c>
      <c r="O6">
        <v>0.1794404026224122</v>
      </c>
      <c r="P6">
        <v>0.45057166681383243</v>
      </c>
      <c r="Q6">
        <v>0.1794404026224122</v>
      </c>
    </row>
    <row r="7" spans="1:17" x14ac:dyDescent="0.25">
      <c r="A7" s="148">
        <v>5</v>
      </c>
      <c r="B7" t="s">
        <v>103</v>
      </c>
      <c r="C7">
        <v>2475</v>
      </c>
      <c r="D7" t="s">
        <v>62</v>
      </c>
      <c r="E7" t="s">
        <v>92</v>
      </c>
      <c r="F7" t="s">
        <v>93</v>
      </c>
      <c r="G7" t="s">
        <v>91</v>
      </c>
      <c r="H7">
        <v>16.135131999999999</v>
      </c>
      <c r="I7">
        <v>7.9066045000000003</v>
      </c>
      <c r="J7">
        <v>1.6032824000000001</v>
      </c>
      <c r="K7">
        <v>37.418633</v>
      </c>
      <c r="L7">
        <v>-122.262</v>
      </c>
      <c r="M7">
        <v>232.57796999999999</v>
      </c>
      <c r="N7">
        <v>21.18</v>
      </c>
      <c r="O7">
        <v>0.17935618206425988</v>
      </c>
      <c r="P7">
        <v>0.45041979621901712</v>
      </c>
      <c r="Q7">
        <v>0.17935618206425988</v>
      </c>
    </row>
    <row r="8" spans="1:17" x14ac:dyDescent="0.25">
      <c r="A8" s="148">
        <v>6</v>
      </c>
      <c r="B8" t="s">
        <v>103</v>
      </c>
      <c r="C8">
        <v>475</v>
      </c>
      <c r="D8" t="s">
        <v>62</v>
      </c>
      <c r="E8" t="s">
        <v>89</v>
      </c>
      <c r="F8" t="s">
        <v>104</v>
      </c>
      <c r="G8" t="s">
        <v>99</v>
      </c>
      <c r="H8">
        <v>29.998092</v>
      </c>
      <c r="I8">
        <v>7.6941179000000002</v>
      </c>
      <c r="J8">
        <v>1.5384397999999999</v>
      </c>
      <c r="K8">
        <v>37.409638999999999</v>
      </c>
      <c r="L8">
        <v>-122.43389999999999</v>
      </c>
      <c r="M8">
        <v>248.96414999999999</v>
      </c>
      <c r="N8">
        <v>1.29</v>
      </c>
      <c r="O8">
        <v>0.10170857588430585</v>
      </c>
      <c r="P8">
        <v>0.26141755892340507</v>
      </c>
      <c r="Q8">
        <v>0.10170857588430585</v>
      </c>
    </row>
    <row r="9" spans="1:17" x14ac:dyDescent="0.25">
      <c r="A9" s="148">
        <v>7</v>
      </c>
      <c r="B9" t="s">
        <v>103</v>
      </c>
      <c r="C9">
        <v>475</v>
      </c>
      <c r="D9" t="s">
        <v>62</v>
      </c>
      <c r="E9" t="s">
        <v>92</v>
      </c>
      <c r="F9" t="s">
        <v>104</v>
      </c>
      <c r="G9" t="s">
        <v>99</v>
      </c>
      <c r="H9">
        <v>29.998092</v>
      </c>
      <c r="I9">
        <v>7.6914971000000003</v>
      </c>
      <c r="J9">
        <v>1.5408662</v>
      </c>
      <c r="K9">
        <v>37.409638999999999</v>
      </c>
      <c r="L9">
        <v>-122.43389999999999</v>
      </c>
      <c r="M9">
        <v>248.96414999999999</v>
      </c>
      <c r="N9">
        <v>1.33</v>
      </c>
      <c r="O9">
        <v>0.10155888311380933</v>
      </c>
      <c r="P9">
        <v>0.26111408552569382</v>
      </c>
      <c r="Q9">
        <v>0.10155888311380933</v>
      </c>
    </row>
    <row r="10" spans="1:17" x14ac:dyDescent="0.25">
      <c r="A10" s="148">
        <v>8</v>
      </c>
      <c r="B10" t="s">
        <v>103</v>
      </c>
      <c r="C10">
        <v>975</v>
      </c>
      <c r="D10" t="s">
        <v>62</v>
      </c>
      <c r="E10" t="s">
        <v>89</v>
      </c>
      <c r="F10" t="s">
        <v>104</v>
      </c>
      <c r="G10" t="s">
        <v>99</v>
      </c>
      <c r="H10">
        <v>29.998092</v>
      </c>
      <c r="I10">
        <v>7.7208129999999997</v>
      </c>
      <c r="J10">
        <v>1.9032538000000001</v>
      </c>
      <c r="K10">
        <v>37.409638999999999</v>
      </c>
      <c r="L10">
        <v>-122.43389999999999</v>
      </c>
      <c r="M10">
        <v>248.96414999999999</v>
      </c>
      <c r="N10">
        <v>1.1100000000000001</v>
      </c>
      <c r="O10">
        <v>0.10324273484551086</v>
      </c>
      <c r="P10">
        <v>0.26452343704889475</v>
      </c>
      <c r="Q10">
        <v>0.10324273484551086</v>
      </c>
    </row>
    <row r="11" spans="1:17" x14ac:dyDescent="0.25">
      <c r="A11" s="148">
        <v>9</v>
      </c>
      <c r="B11" t="s">
        <v>103</v>
      </c>
      <c r="C11">
        <v>975</v>
      </c>
      <c r="D11" t="s">
        <v>62</v>
      </c>
      <c r="E11" t="s">
        <v>92</v>
      </c>
      <c r="F11" t="s">
        <v>104</v>
      </c>
      <c r="G11" t="s">
        <v>99</v>
      </c>
      <c r="H11">
        <v>29.998092</v>
      </c>
      <c r="I11">
        <v>7.7177372000000002</v>
      </c>
      <c r="J11">
        <v>1.9061518</v>
      </c>
      <c r="K11">
        <v>37.409638999999999</v>
      </c>
      <c r="L11">
        <v>-122.43389999999999</v>
      </c>
      <c r="M11">
        <v>248.96414999999999</v>
      </c>
      <c r="N11">
        <v>1.1499999999999999</v>
      </c>
      <c r="O11">
        <v>0.10306509463621293</v>
      </c>
      <c r="P11">
        <v>0.26416420884788405</v>
      </c>
      <c r="Q11">
        <v>0.10306509463621293</v>
      </c>
    </row>
    <row r="12" spans="1:17" x14ac:dyDescent="0.25">
      <c r="A12" s="148">
        <v>10</v>
      </c>
      <c r="B12" t="s">
        <v>88</v>
      </c>
      <c r="C12">
        <v>475</v>
      </c>
      <c r="D12" t="s">
        <v>62</v>
      </c>
      <c r="E12" t="s">
        <v>89</v>
      </c>
      <c r="F12" t="s">
        <v>90</v>
      </c>
      <c r="G12" t="s">
        <v>91</v>
      </c>
      <c r="H12">
        <v>10.328969000000001</v>
      </c>
      <c r="I12">
        <v>7.8540616999999999</v>
      </c>
      <c r="J12">
        <v>0.38300993999999999</v>
      </c>
      <c r="K12">
        <v>37.777076999999998</v>
      </c>
      <c r="L12">
        <v>-122.58262000000001</v>
      </c>
      <c r="M12">
        <v>242.57993999999999</v>
      </c>
      <c r="N12">
        <v>26.57</v>
      </c>
      <c r="O12">
        <v>0.23249511520451921</v>
      </c>
      <c r="P12">
        <v>0.5822436491706583</v>
      </c>
      <c r="Q12">
        <v>0.23249511520451921</v>
      </c>
    </row>
    <row r="13" spans="1:17" x14ac:dyDescent="0.25">
      <c r="A13" s="148">
        <v>11</v>
      </c>
      <c r="B13" t="s">
        <v>88</v>
      </c>
      <c r="C13">
        <v>475</v>
      </c>
      <c r="D13" t="s">
        <v>62</v>
      </c>
      <c r="E13" t="s">
        <v>92</v>
      </c>
      <c r="F13" t="s">
        <v>90</v>
      </c>
      <c r="G13" t="s">
        <v>91</v>
      </c>
      <c r="H13">
        <v>10.328969000000001</v>
      </c>
      <c r="I13">
        <v>7.8533596000000001</v>
      </c>
      <c r="J13">
        <v>0.38322772999999999</v>
      </c>
      <c r="K13">
        <v>37.777076999999998</v>
      </c>
      <c r="L13">
        <v>-122.58262000000001</v>
      </c>
      <c r="M13">
        <v>242.57993999999999</v>
      </c>
      <c r="N13">
        <v>26.41</v>
      </c>
      <c r="O13">
        <v>0.23243483843453808</v>
      </c>
      <c r="P13">
        <v>0.58214548752914819</v>
      </c>
      <c r="Q13">
        <v>0.23243483843453808</v>
      </c>
    </row>
    <row r="14" spans="1:17" x14ac:dyDescent="0.25">
      <c r="A14" s="148">
        <v>12</v>
      </c>
      <c r="B14" t="s">
        <v>88</v>
      </c>
      <c r="C14">
        <v>975</v>
      </c>
      <c r="D14" t="s">
        <v>62</v>
      </c>
      <c r="E14" t="s">
        <v>89</v>
      </c>
      <c r="F14" t="s">
        <v>90</v>
      </c>
      <c r="G14" t="s">
        <v>91</v>
      </c>
      <c r="H14">
        <v>10.328969000000001</v>
      </c>
      <c r="I14">
        <v>7.8710944999999999</v>
      </c>
      <c r="J14">
        <v>0.85719208000000002</v>
      </c>
      <c r="K14">
        <v>37.777076999999998</v>
      </c>
      <c r="L14">
        <v>-122.58262000000001</v>
      </c>
      <c r="M14">
        <v>242.57993999999999</v>
      </c>
      <c r="N14">
        <v>30.92</v>
      </c>
      <c r="O14">
        <v>0.23395945517606015</v>
      </c>
      <c r="P14">
        <v>0.58462605899836817</v>
      </c>
      <c r="Q14">
        <v>0.23395945517606015</v>
      </c>
    </row>
    <row r="15" spans="1:17" x14ac:dyDescent="0.25">
      <c r="A15" s="148">
        <v>13</v>
      </c>
      <c r="B15" t="s">
        <v>88</v>
      </c>
      <c r="C15">
        <v>975</v>
      </c>
      <c r="D15" t="s">
        <v>62</v>
      </c>
      <c r="E15" t="s">
        <v>92</v>
      </c>
      <c r="F15" t="s">
        <v>90</v>
      </c>
      <c r="G15" t="s">
        <v>91</v>
      </c>
      <c r="H15">
        <v>10.328969000000001</v>
      </c>
      <c r="I15">
        <v>7.8702382000000002</v>
      </c>
      <c r="J15">
        <v>0.85750954999999995</v>
      </c>
      <c r="K15">
        <v>37.777076999999998</v>
      </c>
      <c r="L15">
        <v>-122.58262000000001</v>
      </c>
      <c r="M15">
        <v>242.57993999999999</v>
      </c>
      <c r="N15">
        <v>30.73</v>
      </c>
      <c r="O15">
        <v>0.23388574434854176</v>
      </c>
      <c r="P15">
        <v>0.58450623977689486</v>
      </c>
      <c r="Q15">
        <v>0.23388574434854176</v>
      </c>
    </row>
    <row r="16" spans="1:17" x14ac:dyDescent="0.25">
      <c r="A16" s="148">
        <v>14</v>
      </c>
      <c r="B16" t="s">
        <v>88</v>
      </c>
      <c r="C16">
        <v>2475</v>
      </c>
      <c r="D16" t="s">
        <v>62</v>
      </c>
      <c r="E16" t="s">
        <v>89</v>
      </c>
      <c r="F16" t="s">
        <v>90</v>
      </c>
      <c r="G16" t="s">
        <v>91</v>
      </c>
      <c r="H16">
        <v>10.328969000000001</v>
      </c>
      <c r="I16">
        <v>7.8911442000000003</v>
      </c>
      <c r="J16">
        <v>1.3656713</v>
      </c>
      <c r="K16">
        <v>37.777076999999998</v>
      </c>
      <c r="L16">
        <v>-122.58262000000001</v>
      </c>
      <c r="M16">
        <v>242.57993999999999</v>
      </c>
      <c r="N16">
        <v>35.07</v>
      </c>
      <c r="O16">
        <v>0.23568814864953291</v>
      </c>
      <c r="P16">
        <v>0.58743295046034816</v>
      </c>
      <c r="Q16">
        <v>0.23568814864953291</v>
      </c>
    </row>
    <row r="17" spans="1:17" x14ac:dyDescent="0.25">
      <c r="A17" s="148">
        <v>15</v>
      </c>
      <c r="B17" t="s">
        <v>88</v>
      </c>
      <c r="C17">
        <v>2475</v>
      </c>
      <c r="D17" t="s">
        <v>62</v>
      </c>
      <c r="E17" t="s">
        <v>92</v>
      </c>
      <c r="F17" t="s">
        <v>90</v>
      </c>
      <c r="G17" t="s">
        <v>91</v>
      </c>
      <c r="H17">
        <v>10.328969000000001</v>
      </c>
      <c r="I17">
        <v>7.8901664</v>
      </c>
      <c r="J17">
        <v>1.3660649</v>
      </c>
      <c r="K17">
        <v>37.777076999999998</v>
      </c>
      <c r="L17">
        <v>-122.58262000000001</v>
      </c>
      <c r="M17">
        <v>242.57993999999999</v>
      </c>
      <c r="N17">
        <v>34.840000000000003</v>
      </c>
      <c r="O17">
        <v>0.23560371803282801</v>
      </c>
      <c r="P17">
        <v>0.58729599966608237</v>
      </c>
      <c r="Q17">
        <v>0.23560371803282801</v>
      </c>
    </row>
    <row r="18" spans="1:17" x14ac:dyDescent="0.25">
      <c r="A18" s="148">
        <v>16</v>
      </c>
      <c r="B18" t="s">
        <v>88</v>
      </c>
      <c r="C18">
        <v>475</v>
      </c>
      <c r="D18" t="s">
        <v>62</v>
      </c>
      <c r="E18" t="s">
        <v>89</v>
      </c>
      <c r="F18" t="s">
        <v>98</v>
      </c>
      <c r="G18" t="s">
        <v>99</v>
      </c>
      <c r="H18">
        <v>13.527457</v>
      </c>
      <c r="I18">
        <v>7.6718245999999999</v>
      </c>
      <c r="J18">
        <v>0.73160270000000005</v>
      </c>
      <c r="K18">
        <v>37.782691</v>
      </c>
      <c r="L18">
        <v>-122.62488999999999</v>
      </c>
      <c r="M18">
        <v>252.23525000000001</v>
      </c>
      <c r="N18">
        <v>6.1</v>
      </c>
      <c r="O18">
        <v>0.18262222608605364</v>
      </c>
      <c r="P18">
        <v>0.4712160357391289</v>
      </c>
      <c r="Q18">
        <v>0.18262222608605364</v>
      </c>
    </row>
    <row r="19" spans="1:17" x14ac:dyDescent="0.25">
      <c r="A19" s="148">
        <v>17</v>
      </c>
      <c r="B19" t="s">
        <v>88</v>
      </c>
      <c r="C19">
        <v>475</v>
      </c>
      <c r="D19" t="s">
        <v>62</v>
      </c>
      <c r="E19" t="s">
        <v>92</v>
      </c>
      <c r="F19" t="s">
        <v>98</v>
      </c>
      <c r="G19" t="s">
        <v>99</v>
      </c>
      <c r="H19">
        <v>13.527457</v>
      </c>
      <c r="I19">
        <v>7.6671832999999996</v>
      </c>
      <c r="J19">
        <v>0.73475878999999999</v>
      </c>
      <c r="K19">
        <v>37.782691</v>
      </c>
      <c r="L19">
        <v>-122.62488999999999</v>
      </c>
      <c r="M19">
        <v>252.23525000000001</v>
      </c>
      <c r="N19">
        <v>6.27</v>
      </c>
      <c r="O19">
        <v>0.18226160889224216</v>
      </c>
      <c r="P19">
        <v>0.47057454429110246</v>
      </c>
      <c r="Q19">
        <v>0.18226160889224216</v>
      </c>
    </row>
    <row r="20" spans="1:17" x14ac:dyDescent="0.25">
      <c r="A20" s="148">
        <v>18</v>
      </c>
      <c r="B20" t="s">
        <v>88</v>
      </c>
      <c r="C20">
        <v>975</v>
      </c>
      <c r="D20" t="s">
        <v>62</v>
      </c>
      <c r="E20" t="s">
        <v>89</v>
      </c>
      <c r="F20" t="s">
        <v>98</v>
      </c>
      <c r="G20" t="s">
        <v>99</v>
      </c>
      <c r="H20">
        <v>13.527457</v>
      </c>
      <c r="I20">
        <v>7.6938421999999997</v>
      </c>
      <c r="J20">
        <v>1.2015841</v>
      </c>
      <c r="K20">
        <v>37.782691</v>
      </c>
      <c r="L20">
        <v>-122.62488999999999</v>
      </c>
      <c r="M20">
        <v>252.23525000000001</v>
      </c>
      <c r="N20">
        <v>6.2</v>
      </c>
      <c r="O20">
        <v>0.18433831740056475</v>
      </c>
      <c r="P20">
        <v>0.47426421144621639</v>
      </c>
      <c r="Q20">
        <v>0.18433831740056475</v>
      </c>
    </row>
    <row r="21" spans="1:17" x14ac:dyDescent="0.25">
      <c r="A21" s="148">
        <v>19</v>
      </c>
      <c r="B21" t="s">
        <v>88</v>
      </c>
      <c r="C21">
        <v>975</v>
      </c>
      <c r="D21" t="s">
        <v>62</v>
      </c>
      <c r="E21" t="s">
        <v>92</v>
      </c>
      <c r="F21" t="s">
        <v>98</v>
      </c>
      <c r="G21" t="s">
        <v>99</v>
      </c>
      <c r="H21">
        <v>13.527457</v>
      </c>
      <c r="I21">
        <v>7.6887892999999998</v>
      </c>
      <c r="J21">
        <v>1.2051247</v>
      </c>
      <c r="K21">
        <v>37.782691</v>
      </c>
      <c r="L21">
        <v>-122.62488999999999</v>
      </c>
      <c r="M21">
        <v>252.23525000000001</v>
      </c>
      <c r="N21">
        <v>6.37</v>
      </c>
      <c r="O21">
        <v>0.18394370064321644</v>
      </c>
      <c r="P21">
        <v>0.47356393985469197</v>
      </c>
      <c r="Q21">
        <v>0.18394370064321644</v>
      </c>
    </row>
    <row r="22" spans="1:17" x14ac:dyDescent="0.25">
      <c r="A22" s="148">
        <v>20</v>
      </c>
      <c r="B22" t="s">
        <v>100</v>
      </c>
      <c r="C22">
        <v>475</v>
      </c>
      <c r="D22" t="s">
        <v>62</v>
      </c>
      <c r="E22" t="s">
        <v>89</v>
      </c>
      <c r="F22" t="s">
        <v>101</v>
      </c>
      <c r="G22" t="s">
        <v>91</v>
      </c>
      <c r="H22">
        <v>16.450806</v>
      </c>
      <c r="I22">
        <v>7.8631320000000002</v>
      </c>
      <c r="J22">
        <v>0.80745897</v>
      </c>
      <c r="K22">
        <v>37.52017</v>
      </c>
      <c r="L22">
        <v>-122.36027</v>
      </c>
      <c r="M22">
        <v>236.51334</v>
      </c>
      <c r="N22">
        <v>16.239999999999998</v>
      </c>
      <c r="O22">
        <v>0.17365703442315919</v>
      </c>
      <c r="P22">
        <v>0.43857118833479541</v>
      </c>
      <c r="Q22">
        <v>0.17365703442315919</v>
      </c>
    </row>
    <row r="23" spans="1:17" x14ac:dyDescent="0.25">
      <c r="A23" s="148">
        <v>21</v>
      </c>
      <c r="B23" t="s">
        <v>100</v>
      </c>
      <c r="C23">
        <v>475</v>
      </c>
      <c r="D23" t="s">
        <v>62</v>
      </c>
      <c r="E23" t="s">
        <v>92</v>
      </c>
      <c r="F23" t="s">
        <v>101</v>
      </c>
      <c r="G23" t="s">
        <v>91</v>
      </c>
      <c r="H23">
        <v>16.450806</v>
      </c>
      <c r="I23">
        <v>7.8613999000000003</v>
      </c>
      <c r="J23">
        <v>0.80826602999999997</v>
      </c>
      <c r="K23">
        <v>37.52017</v>
      </c>
      <c r="L23">
        <v>-122.36027</v>
      </c>
      <c r="M23">
        <v>236.51334</v>
      </c>
      <c r="N23">
        <v>16.079999999999998</v>
      </c>
      <c r="O23">
        <v>0.17352388732517524</v>
      </c>
      <c r="P23">
        <v>0.43832907042424751</v>
      </c>
      <c r="Q23">
        <v>0.17352388732517524</v>
      </c>
    </row>
    <row r="24" spans="1:17" x14ac:dyDescent="0.25">
      <c r="A24" s="148">
        <v>22</v>
      </c>
      <c r="B24" t="s">
        <v>100</v>
      </c>
      <c r="C24">
        <v>975</v>
      </c>
      <c r="D24" t="s">
        <v>62</v>
      </c>
      <c r="E24" t="s">
        <v>89</v>
      </c>
      <c r="F24" t="s">
        <v>101</v>
      </c>
      <c r="G24" t="s">
        <v>91</v>
      </c>
      <c r="H24">
        <v>16.450806</v>
      </c>
      <c r="I24">
        <v>7.8827581999999996</v>
      </c>
      <c r="J24">
        <v>1.2021196999999999</v>
      </c>
      <c r="K24">
        <v>37.52017</v>
      </c>
      <c r="L24">
        <v>-122.36027</v>
      </c>
      <c r="M24">
        <v>236.51334</v>
      </c>
      <c r="N24">
        <v>18.45</v>
      </c>
      <c r="O24">
        <v>0.1751699308378335</v>
      </c>
      <c r="P24">
        <v>0.44131936679625222</v>
      </c>
      <c r="Q24">
        <v>0.1751699308378335</v>
      </c>
    </row>
    <row r="25" spans="1:17" x14ac:dyDescent="0.25">
      <c r="A25" s="148">
        <v>23</v>
      </c>
      <c r="B25" t="s">
        <v>100</v>
      </c>
      <c r="C25">
        <v>975</v>
      </c>
      <c r="D25" t="s">
        <v>62</v>
      </c>
      <c r="E25" t="s">
        <v>92</v>
      </c>
      <c r="F25" t="s">
        <v>101</v>
      </c>
      <c r="G25" t="s">
        <v>91</v>
      </c>
      <c r="H25">
        <v>16.450806</v>
      </c>
      <c r="I25">
        <v>7.8812708000000002</v>
      </c>
      <c r="J25">
        <v>1.2027618</v>
      </c>
      <c r="K25">
        <v>37.52017</v>
      </c>
      <c r="L25">
        <v>-122.36027</v>
      </c>
      <c r="M25">
        <v>236.51334</v>
      </c>
      <c r="N25">
        <v>18.27</v>
      </c>
      <c r="O25">
        <v>0.1750550021460148</v>
      </c>
      <c r="P25">
        <v>0.44111078532385117</v>
      </c>
      <c r="Q25">
        <v>0.1750550021460148</v>
      </c>
    </row>
    <row r="26" spans="1:17" x14ac:dyDescent="0.25">
      <c r="A26" s="148">
        <v>24</v>
      </c>
      <c r="B26" t="s">
        <v>100</v>
      </c>
      <c r="C26">
        <v>2475</v>
      </c>
      <c r="D26" t="s">
        <v>62</v>
      </c>
      <c r="E26" t="s">
        <v>89</v>
      </c>
      <c r="F26" t="s">
        <v>101</v>
      </c>
      <c r="G26" t="s">
        <v>91</v>
      </c>
      <c r="H26">
        <v>16.450806</v>
      </c>
      <c r="I26">
        <v>7.9059736999999997</v>
      </c>
      <c r="J26">
        <v>1.6168245000000001</v>
      </c>
      <c r="K26">
        <v>37.52017</v>
      </c>
      <c r="L26">
        <v>-122.36027</v>
      </c>
      <c r="M26">
        <v>236.51334</v>
      </c>
      <c r="N26">
        <v>21.03</v>
      </c>
      <c r="O26">
        <v>0.1769695141969205</v>
      </c>
      <c r="P26">
        <v>0.44458143428681968</v>
      </c>
      <c r="Q26">
        <v>0.1769695141969205</v>
      </c>
    </row>
    <row r="27" spans="1:17" x14ac:dyDescent="0.25">
      <c r="A27" s="148">
        <v>25</v>
      </c>
      <c r="B27" t="s">
        <v>100</v>
      </c>
      <c r="C27">
        <v>2475</v>
      </c>
      <c r="D27" t="s">
        <v>62</v>
      </c>
      <c r="E27" t="s">
        <v>92</v>
      </c>
      <c r="F27" t="s">
        <v>101</v>
      </c>
      <c r="G27" t="s">
        <v>91</v>
      </c>
      <c r="H27">
        <v>16.450806</v>
      </c>
      <c r="I27">
        <v>7.9047827000000002</v>
      </c>
      <c r="J27">
        <v>1.6172613</v>
      </c>
      <c r="K27">
        <v>37.52017</v>
      </c>
      <c r="L27">
        <v>-122.36027</v>
      </c>
      <c r="M27">
        <v>236.51334</v>
      </c>
      <c r="N27">
        <v>20.81</v>
      </c>
      <c r="O27">
        <v>0.17687692871923344</v>
      </c>
      <c r="P27">
        <v>0.44441378677184096</v>
      </c>
      <c r="Q27">
        <v>0.17687692871923344</v>
      </c>
    </row>
    <row r="28" spans="1:17" x14ac:dyDescent="0.25">
      <c r="A28" s="148">
        <v>26</v>
      </c>
      <c r="B28" t="s">
        <v>100</v>
      </c>
      <c r="C28">
        <v>475</v>
      </c>
      <c r="D28" t="s">
        <v>62</v>
      </c>
      <c r="E28" t="s">
        <v>89</v>
      </c>
      <c r="F28" t="s">
        <v>102</v>
      </c>
      <c r="G28" t="s">
        <v>99</v>
      </c>
      <c r="H28">
        <v>28.004995999999998</v>
      </c>
      <c r="I28">
        <v>7.7025398999999997</v>
      </c>
      <c r="J28">
        <v>1.4491741</v>
      </c>
      <c r="K28">
        <v>37.475987000000003</v>
      </c>
      <c r="L28">
        <v>-122.47978000000001</v>
      </c>
      <c r="M28">
        <v>240.08770000000001</v>
      </c>
      <c r="N28">
        <v>1.69</v>
      </c>
      <c r="O28">
        <v>0.10794922144383264</v>
      </c>
      <c r="P28">
        <v>0.27765399970211657</v>
      </c>
      <c r="Q28">
        <v>0.10794922144383264</v>
      </c>
    </row>
    <row r="29" spans="1:17" x14ac:dyDescent="0.25">
      <c r="A29" s="148">
        <v>27</v>
      </c>
      <c r="B29" t="s">
        <v>100</v>
      </c>
      <c r="C29">
        <v>475</v>
      </c>
      <c r="D29" t="s">
        <v>62</v>
      </c>
      <c r="E29" t="s">
        <v>92</v>
      </c>
      <c r="F29" t="s">
        <v>102</v>
      </c>
      <c r="G29" t="s">
        <v>99</v>
      </c>
      <c r="H29">
        <v>28.004995999999998</v>
      </c>
      <c r="I29">
        <v>7.7034371000000004</v>
      </c>
      <c r="J29">
        <v>1.4487436</v>
      </c>
      <c r="K29">
        <v>37.475987000000003</v>
      </c>
      <c r="L29">
        <v>-122.47978000000001</v>
      </c>
      <c r="M29">
        <v>240.08770000000001</v>
      </c>
      <c r="N29">
        <v>1.74</v>
      </c>
      <c r="O29">
        <v>0.10800239282307224</v>
      </c>
      <c r="P29">
        <v>0.27776088470967986</v>
      </c>
      <c r="Q29">
        <v>0.10800239282307224</v>
      </c>
    </row>
    <row r="30" spans="1:17" x14ac:dyDescent="0.25">
      <c r="A30" s="148">
        <v>28</v>
      </c>
      <c r="B30" t="s">
        <v>100</v>
      </c>
      <c r="C30">
        <v>975</v>
      </c>
      <c r="D30" t="s">
        <v>62</v>
      </c>
      <c r="E30" t="s">
        <v>89</v>
      </c>
      <c r="F30" t="s">
        <v>102</v>
      </c>
      <c r="G30" t="s">
        <v>99</v>
      </c>
      <c r="H30">
        <v>28.004995999999998</v>
      </c>
      <c r="I30">
        <v>7.7238743999999997</v>
      </c>
      <c r="J30">
        <v>1.8261915</v>
      </c>
      <c r="K30">
        <v>37.475987000000003</v>
      </c>
      <c r="L30">
        <v>-122.47978000000001</v>
      </c>
      <c r="M30">
        <v>240.08770000000001</v>
      </c>
      <c r="N30">
        <v>1.51</v>
      </c>
      <c r="O30">
        <v>0.10921879793451472</v>
      </c>
      <c r="P30">
        <v>0.28020359121820843</v>
      </c>
      <c r="Q30">
        <v>0.10921879793451472</v>
      </c>
    </row>
    <row r="31" spans="1:17" x14ac:dyDescent="0.25">
      <c r="A31" s="148">
        <v>29</v>
      </c>
      <c r="B31" t="s">
        <v>100</v>
      </c>
      <c r="C31">
        <v>975</v>
      </c>
      <c r="D31" t="s">
        <v>62</v>
      </c>
      <c r="E31" t="s">
        <v>92</v>
      </c>
      <c r="F31" t="s">
        <v>102</v>
      </c>
      <c r="G31" t="s">
        <v>99</v>
      </c>
      <c r="H31">
        <v>28.004995999999998</v>
      </c>
      <c r="I31">
        <v>7.7235693000000003</v>
      </c>
      <c r="J31">
        <v>1.8268526</v>
      </c>
      <c r="K31">
        <v>37.475987000000003</v>
      </c>
      <c r="L31">
        <v>-122.47978000000001</v>
      </c>
      <c r="M31">
        <v>240.08770000000001</v>
      </c>
      <c r="N31">
        <v>1.55</v>
      </c>
      <c r="O31">
        <v>0.10920056517041404</v>
      </c>
      <c r="P31">
        <v>0.28016701262954774</v>
      </c>
      <c r="Q31">
        <v>0.10920056517041404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N39"/>
  <sheetViews>
    <sheetView zoomScaleNormal="100" workbookViewId="0">
      <selection activeCell="B3" sqref="B3"/>
    </sheetView>
  </sheetViews>
  <sheetFormatPr defaultRowHeight="15" x14ac:dyDescent="0.25"/>
  <cols>
    <col min="1" max="1" width="18.5703125" customWidth="1"/>
    <col min="2" max="2" width="26.140625" customWidth="1"/>
    <col min="3" max="3" width="12" bestFit="1" customWidth="1"/>
    <col min="4" max="4" width="11.42578125" customWidth="1"/>
    <col min="5" max="5" width="12.28515625" customWidth="1"/>
    <col min="6" max="6" width="11.140625" customWidth="1"/>
    <col min="7" max="7" width="14.140625" bestFit="1" customWidth="1"/>
    <col min="8" max="8" width="11.5703125" customWidth="1"/>
    <col min="9" max="9" width="19.28515625" customWidth="1"/>
    <col min="10" max="10" width="14.85546875" customWidth="1"/>
    <col min="13" max="13" width="13.140625" customWidth="1"/>
    <col min="14" max="14" width="14.28515625" customWidth="1"/>
  </cols>
  <sheetData>
    <row r="2" spans="1:14" ht="15.75" thickBot="1" x14ac:dyDescent="0.3"/>
    <row r="3" spans="1:14" ht="30.75" thickBot="1" x14ac:dyDescent="0.3">
      <c r="A3" s="55" t="s">
        <v>65</v>
      </c>
      <c r="B3" s="63">
        <v>100</v>
      </c>
      <c r="E3" s="17" t="s">
        <v>69</v>
      </c>
      <c r="F3" s="76">
        <v>2.9403314180239284</v>
      </c>
      <c r="G3" s="62"/>
      <c r="J3" s="61"/>
    </row>
    <row r="4" spans="1:14" ht="15.75" thickBot="1" x14ac:dyDescent="0.3">
      <c r="M4" s="60"/>
    </row>
    <row r="5" spans="1:14" ht="15.75" thickBot="1" x14ac:dyDescent="0.3">
      <c r="A5" s="55" t="s">
        <v>70</v>
      </c>
      <c r="B5" s="83">
        <f>COUNTA(A8:A30)</f>
        <v>10</v>
      </c>
      <c r="C5" s="5"/>
      <c r="D5" s="5"/>
      <c r="E5" s="5"/>
      <c r="F5" s="5"/>
      <c r="G5" s="5"/>
      <c r="H5" s="5"/>
      <c r="I5" s="5"/>
      <c r="J5" s="5"/>
      <c r="K5" s="5"/>
    </row>
    <row r="6" spans="1:14" ht="15.75" thickBot="1" x14ac:dyDescent="0.3">
      <c r="A6" s="5"/>
      <c r="B6" s="5"/>
      <c r="C6" s="5"/>
      <c r="D6" s="5"/>
      <c r="E6" s="5"/>
      <c r="F6" s="5"/>
      <c r="G6" s="5"/>
      <c r="H6" s="5"/>
      <c r="I6" s="5"/>
      <c r="J6" s="5"/>
      <c r="K6" s="5"/>
    </row>
    <row r="7" spans="1:14" ht="44.25" customHeight="1" thickBot="1" x14ac:dyDescent="0.3">
      <c r="A7" s="64" t="s">
        <v>63</v>
      </c>
      <c r="B7" s="65" t="s">
        <v>59</v>
      </c>
      <c r="C7" s="66" t="s">
        <v>64</v>
      </c>
      <c r="D7" s="67" t="s">
        <v>66</v>
      </c>
      <c r="E7" s="65" t="s">
        <v>60</v>
      </c>
      <c r="F7" s="68" t="s">
        <v>97</v>
      </c>
      <c r="G7" s="68" t="s">
        <v>71</v>
      </c>
      <c r="H7" s="72" t="s">
        <v>96</v>
      </c>
      <c r="I7" s="69" t="s">
        <v>68</v>
      </c>
      <c r="K7" s="60"/>
      <c r="M7" s="70" t="s">
        <v>72</v>
      </c>
      <c r="N7" s="69" t="s">
        <v>67</v>
      </c>
    </row>
    <row r="8" spans="1:14" x14ac:dyDescent="0.25">
      <c r="A8" s="4" t="s">
        <v>105</v>
      </c>
      <c r="B8">
        <v>475</v>
      </c>
      <c r="C8" s="5">
        <f>1/B8</f>
        <v>2.1052631578947368E-3</v>
      </c>
      <c r="D8" s="5">
        <f>EXP(-$C8)*$C8^(1)/FACT(1)</f>
        <v>2.100835687061623E-3</v>
      </c>
      <c r="E8">
        <v>40.657995409334355</v>
      </c>
      <c r="F8" s="5">
        <v>5.3533375820163466E-2</v>
      </c>
      <c r="G8" s="5">
        <v>13</v>
      </c>
      <c r="H8" s="60">
        <v>1</v>
      </c>
      <c r="I8" s="6">
        <f>_xlfn.CEILING.MATH($B$3/B8)</f>
        <v>1</v>
      </c>
      <c r="J8" s="81"/>
      <c r="K8" s="81"/>
      <c r="M8" s="4">
        <v>1</v>
      </c>
      <c r="N8" s="6">
        <f>COMBIN($B$3, M8)*POWER($D8, M8)*POWER((1-$D8), $B$3-M8)</f>
        <v>0.17059697263879176</v>
      </c>
    </row>
    <row r="9" spans="1:14" x14ac:dyDescent="0.25">
      <c r="A9" s="4" t="s">
        <v>107</v>
      </c>
      <c r="B9">
        <v>475</v>
      </c>
      <c r="C9" s="5">
        <f>1/B9</f>
        <v>2.1052631578947368E-3</v>
      </c>
      <c r="D9" s="5">
        <f>EXP(-$C9)*$C9^(1)/FACT(1)</f>
        <v>2.100835687061623E-3</v>
      </c>
      <c r="E9">
        <v>9.3343534812547819</v>
      </c>
      <c r="F9" s="5">
        <v>3.2240408422871625E-2</v>
      </c>
      <c r="G9" s="5">
        <v>7</v>
      </c>
      <c r="H9" s="60">
        <v>1</v>
      </c>
      <c r="I9" s="6">
        <f t="shared" ref="I9:I17" si="0">_xlfn.CEILING.MATH($B$3/B9)</f>
        <v>1</v>
      </c>
      <c r="J9" s="81"/>
      <c r="K9" s="81"/>
      <c r="M9" s="4">
        <v>1</v>
      </c>
      <c r="N9" s="6">
        <f t="shared" ref="N9:N17" si="1">COMBIN($B$3, M9)*POWER($D9, M9)*POWER((1-$D9), $B$3-M9)</f>
        <v>0.17059697263879176</v>
      </c>
    </row>
    <row r="10" spans="1:14" x14ac:dyDescent="0.25">
      <c r="A10" s="4" t="s">
        <v>106</v>
      </c>
      <c r="B10">
        <v>475</v>
      </c>
      <c r="C10" s="5">
        <f t="shared" ref="C10:C17" si="2">1/B10</f>
        <v>2.1052631578947368E-3</v>
      </c>
      <c r="D10" s="5">
        <f t="shared" ref="D10:D17" si="3">EXP(-$C10)*$C10^(1)/FACT(1)</f>
        <v>2.100835687061623E-3</v>
      </c>
      <c r="E10">
        <v>40.413159908186692</v>
      </c>
      <c r="F10" s="5">
        <v>5.3495579776904945E-2</v>
      </c>
      <c r="G10" s="5">
        <v>13</v>
      </c>
      <c r="H10" s="60">
        <v>1</v>
      </c>
      <c r="I10" s="6">
        <f t="shared" si="0"/>
        <v>1</v>
      </c>
      <c r="J10" s="81"/>
      <c r="K10" s="81"/>
      <c r="M10" s="4">
        <v>1</v>
      </c>
      <c r="N10" s="6">
        <f t="shared" si="1"/>
        <v>0.17059697263879176</v>
      </c>
    </row>
    <row r="11" spans="1:14" x14ac:dyDescent="0.25">
      <c r="A11" t="s">
        <v>108</v>
      </c>
      <c r="B11">
        <v>475</v>
      </c>
      <c r="C11" s="5">
        <f t="shared" si="2"/>
        <v>2.1052631578947368E-3</v>
      </c>
      <c r="D11" s="5">
        <f t="shared" si="3"/>
        <v>2.100835687061623E-3</v>
      </c>
      <c r="E11">
        <v>9.5944912012241765</v>
      </c>
      <c r="F11" s="5">
        <v>3.2049130574747585E-2</v>
      </c>
      <c r="G11" s="5">
        <v>7</v>
      </c>
      <c r="H11" s="60">
        <v>1</v>
      </c>
      <c r="I11" s="6">
        <f t="shared" si="0"/>
        <v>1</v>
      </c>
      <c r="J11" s="81"/>
      <c r="K11" s="81"/>
      <c r="M11" s="4">
        <v>1</v>
      </c>
      <c r="N11" s="6">
        <f t="shared" si="1"/>
        <v>0.17059697263879176</v>
      </c>
    </row>
    <row r="12" spans="1:14" x14ac:dyDescent="0.25">
      <c r="A12" t="s">
        <v>109</v>
      </c>
      <c r="B12">
        <v>975</v>
      </c>
      <c r="C12" s="5">
        <f t="shared" si="2"/>
        <v>1.0256410256410256E-3</v>
      </c>
      <c r="D12" s="5">
        <f t="shared" si="3"/>
        <v>1.0245896253993261E-3</v>
      </c>
      <c r="E12">
        <v>41.659929938022088</v>
      </c>
      <c r="F12" s="5">
        <v>5.4454970627946658E-2</v>
      </c>
      <c r="G12" s="5">
        <v>14</v>
      </c>
      <c r="H12" s="60">
        <v>1</v>
      </c>
      <c r="I12" s="6">
        <f t="shared" si="0"/>
        <v>1</v>
      </c>
      <c r="J12" s="81"/>
      <c r="K12" s="81"/>
      <c r="L12" s="5"/>
      <c r="M12" s="4">
        <v>1</v>
      </c>
      <c r="N12" s="6">
        <f t="shared" si="1"/>
        <v>9.2571005790362204E-2</v>
      </c>
    </row>
    <row r="13" spans="1:14" x14ac:dyDescent="0.25">
      <c r="A13" t="s">
        <v>110</v>
      </c>
      <c r="B13">
        <v>975</v>
      </c>
      <c r="C13" s="5">
        <f t="shared" si="2"/>
        <v>1.0256410256410256E-3</v>
      </c>
      <c r="D13" s="5">
        <f t="shared" si="3"/>
        <v>1.0245896253993261E-3</v>
      </c>
      <c r="E13">
        <v>8.353543519267042</v>
      </c>
      <c r="F13" s="5">
        <v>3.3158275706608245E-2</v>
      </c>
      <c r="G13" s="5">
        <v>8</v>
      </c>
      <c r="H13" s="60">
        <v>1</v>
      </c>
      <c r="I13" s="6">
        <f t="shared" si="0"/>
        <v>1</v>
      </c>
      <c r="J13" s="81"/>
      <c r="K13" s="81"/>
      <c r="M13" s="4">
        <v>1</v>
      </c>
      <c r="N13" s="6">
        <f t="shared" si="1"/>
        <v>9.2571005790362204E-2</v>
      </c>
    </row>
    <row r="14" spans="1:14" x14ac:dyDescent="0.25">
      <c r="A14" t="s">
        <v>111</v>
      </c>
      <c r="B14">
        <v>975</v>
      </c>
      <c r="C14" s="5">
        <f t="shared" si="2"/>
        <v>1.0256410256410256E-3</v>
      </c>
      <c r="D14" s="5">
        <f t="shared" si="3"/>
        <v>1.0245896253993261E-3</v>
      </c>
      <c r="E14">
        <v>41.403934249528426</v>
      </c>
      <c r="F14" s="5">
        <v>5.440842485158779E-2</v>
      </c>
      <c r="G14" s="5">
        <v>14</v>
      </c>
      <c r="H14" s="60">
        <v>1</v>
      </c>
      <c r="I14" s="6">
        <f t="shared" si="0"/>
        <v>1</v>
      </c>
      <c r="J14" s="81"/>
      <c r="K14" s="81"/>
      <c r="M14" s="4">
        <v>1</v>
      </c>
      <c r="N14" s="6">
        <f t="shared" si="1"/>
        <v>9.2571005790362204E-2</v>
      </c>
    </row>
    <row r="15" spans="1:14" x14ac:dyDescent="0.25">
      <c r="A15" t="s">
        <v>112</v>
      </c>
      <c r="B15">
        <v>975</v>
      </c>
      <c r="C15" s="5">
        <f t="shared" si="2"/>
        <v>1.0256410256410256E-3</v>
      </c>
      <c r="D15" s="5">
        <f t="shared" si="3"/>
        <v>1.0245896253993261E-3</v>
      </c>
      <c r="E15">
        <v>8.5825922931824294</v>
      </c>
      <c r="F15" s="5">
        <v>3.2946098879034325E-2</v>
      </c>
      <c r="G15" s="5">
        <v>8</v>
      </c>
      <c r="H15" s="60">
        <v>1</v>
      </c>
      <c r="I15" s="6">
        <f t="shared" si="0"/>
        <v>1</v>
      </c>
      <c r="J15" s="81"/>
      <c r="K15" s="81"/>
      <c r="M15" s="4">
        <v>1</v>
      </c>
      <c r="N15" s="6">
        <f t="shared" si="1"/>
        <v>9.2571005790362204E-2</v>
      </c>
    </row>
    <row r="16" spans="1:14" x14ac:dyDescent="0.25">
      <c r="A16" t="s">
        <v>113</v>
      </c>
      <c r="B16">
        <v>2475</v>
      </c>
      <c r="C16" s="5">
        <f t="shared" si="2"/>
        <v>4.0404040404040404E-4</v>
      </c>
      <c r="D16" s="5">
        <f t="shared" si="3"/>
        <v>4.0387718836739056E-4</v>
      </c>
      <c r="E16">
        <v>50.16449721069948</v>
      </c>
      <c r="F16" s="5">
        <v>5.5551262559648942E-2</v>
      </c>
      <c r="G16" s="5">
        <v>14</v>
      </c>
      <c r="H16" s="60">
        <v>1</v>
      </c>
      <c r="I16" s="6">
        <f t="shared" si="0"/>
        <v>1</v>
      </c>
      <c r="J16" s="81"/>
      <c r="K16" s="81"/>
      <c r="M16" s="4">
        <v>1</v>
      </c>
      <c r="N16" s="6">
        <f t="shared" si="1"/>
        <v>3.8804407341716557E-2</v>
      </c>
    </row>
    <row r="17" spans="1:14" x14ac:dyDescent="0.25">
      <c r="A17" t="s">
        <v>114</v>
      </c>
      <c r="B17">
        <v>2475</v>
      </c>
      <c r="C17" s="5">
        <f t="shared" si="2"/>
        <v>4.0404040404040404E-4</v>
      </c>
      <c r="D17" s="5">
        <f t="shared" si="3"/>
        <v>4.0387718836739056E-4</v>
      </c>
      <c r="E17">
        <v>49.835502789300534</v>
      </c>
      <c r="F17" s="5">
        <v>5.5497511074016903E-2</v>
      </c>
      <c r="G17" s="5">
        <v>14</v>
      </c>
      <c r="H17" s="60">
        <v>1</v>
      </c>
      <c r="I17" s="6">
        <f t="shared" si="0"/>
        <v>1</v>
      </c>
      <c r="J17" s="81"/>
      <c r="K17" s="81"/>
      <c r="M17" s="4">
        <v>1</v>
      </c>
      <c r="N17" s="6">
        <f t="shared" si="1"/>
        <v>3.8804407341716557E-2</v>
      </c>
    </row>
    <row r="18" spans="1:14" x14ac:dyDescent="0.25">
      <c r="A18" s="4"/>
      <c r="B18" s="5"/>
      <c r="C18" s="5"/>
      <c r="D18" s="5"/>
      <c r="E18" s="5"/>
      <c r="F18" s="5"/>
      <c r="G18" s="5"/>
      <c r="H18" s="5"/>
      <c r="I18" s="6"/>
      <c r="J18" s="81"/>
      <c r="K18" s="81"/>
      <c r="M18" s="4"/>
      <c r="N18" s="6"/>
    </row>
    <row r="19" spans="1:14" x14ac:dyDescent="0.25">
      <c r="A19" s="4"/>
      <c r="B19" s="5"/>
      <c r="C19" s="5"/>
      <c r="D19" s="5"/>
      <c r="E19" s="5"/>
      <c r="F19" s="5"/>
      <c r="G19" s="5"/>
      <c r="H19" s="5"/>
      <c r="I19" s="6"/>
      <c r="M19" s="4"/>
      <c r="N19" s="6"/>
    </row>
    <row r="20" spans="1:14" x14ac:dyDescent="0.25">
      <c r="A20" s="4"/>
      <c r="B20" s="81"/>
      <c r="C20" s="60"/>
      <c r="D20" s="60"/>
      <c r="E20" s="81"/>
      <c r="F20" s="60"/>
      <c r="G20" s="60"/>
      <c r="H20" s="5"/>
      <c r="I20" s="6"/>
      <c r="M20" s="4"/>
      <c r="N20" s="6"/>
    </row>
    <row r="21" spans="1:14" x14ac:dyDescent="0.25">
      <c r="A21" s="4"/>
      <c r="B21" s="81"/>
      <c r="C21" s="60"/>
      <c r="D21" s="60"/>
      <c r="E21" s="81"/>
      <c r="F21" s="60"/>
      <c r="G21" s="60"/>
      <c r="H21" s="5"/>
      <c r="I21" s="6"/>
      <c r="M21" s="4"/>
      <c r="N21" s="6"/>
    </row>
    <row r="22" spans="1:14" x14ac:dyDescent="0.25">
      <c r="A22" s="4"/>
      <c r="B22" s="81"/>
      <c r="C22" s="60"/>
      <c r="D22" s="60"/>
      <c r="E22" s="81"/>
      <c r="F22" s="60"/>
      <c r="G22" s="60"/>
      <c r="H22" s="5"/>
      <c r="I22" s="6"/>
      <c r="M22" s="4"/>
      <c r="N22" s="6"/>
    </row>
    <row r="23" spans="1:14" x14ac:dyDescent="0.25">
      <c r="A23" s="4"/>
      <c r="B23" s="81"/>
      <c r="C23" s="60"/>
      <c r="D23" s="60"/>
      <c r="E23" s="81"/>
      <c r="F23" s="60"/>
      <c r="G23" s="60"/>
      <c r="H23" s="5"/>
      <c r="I23" s="6"/>
      <c r="M23" s="4"/>
      <c r="N23" s="6"/>
    </row>
    <row r="24" spans="1:14" x14ac:dyDescent="0.25">
      <c r="A24" s="4"/>
      <c r="B24" s="81"/>
      <c r="C24" s="60"/>
      <c r="D24" s="60"/>
      <c r="E24" s="81"/>
      <c r="F24" s="60"/>
      <c r="G24" s="60"/>
      <c r="H24" s="5"/>
      <c r="I24" s="6"/>
      <c r="M24" s="4"/>
      <c r="N24" s="6"/>
    </row>
    <row r="25" spans="1:14" x14ac:dyDescent="0.25">
      <c r="A25" s="4"/>
      <c r="B25" s="81"/>
      <c r="C25" s="60"/>
      <c r="D25" s="60"/>
      <c r="E25" s="81"/>
      <c r="F25" s="60"/>
      <c r="G25" s="60"/>
      <c r="H25" s="5"/>
      <c r="I25" s="6"/>
      <c r="M25" s="4"/>
      <c r="N25" s="6"/>
    </row>
    <row r="26" spans="1:14" x14ac:dyDescent="0.25">
      <c r="A26" s="4"/>
      <c r="B26" s="81"/>
      <c r="C26" s="60"/>
      <c r="D26" s="60"/>
      <c r="E26" s="81"/>
      <c r="F26" s="60"/>
      <c r="G26" s="60"/>
      <c r="H26" s="5"/>
      <c r="I26" s="6"/>
      <c r="M26" s="4"/>
      <c r="N26" s="6"/>
    </row>
    <row r="27" spans="1:14" x14ac:dyDescent="0.25">
      <c r="A27" s="4"/>
      <c r="B27" s="81"/>
      <c r="C27" s="60"/>
      <c r="D27" s="60"/>
      <c r="E27" s="81"/>
      <c r="F27" s="60"/>
      <c r="G27" s="60"/>
      <c r="H27" s="5"/>
      <c r="I27" s="6"/>
      <c r="M27" s="4"/>
      <c r="N27" s="6"/>
    </row>
    <row r="28" spans="1:14" x14ac:dyDescent="0.25">
      <c r="A28" s="4"/>
      <c r="B28" s="81"/>
      <c r="C28" s="60"/>
      <c r="D28" s="60"/>
      <c r="E28" s="81"/>
      <c r="F28" s="60"/>
      <c r="G28" s="60"/>
      <c r="H28" s="5"/>
      <c r="I28" s="6"/>
      <c r="M28" s="4"/>
      <c r="N28" s="6"/>
    </row>
    <row r="29" spans="1:14" x14ac:dyDescent="0.25">
      <c r="A29" s="4"/>
      <c r="B29" s="81"/>
      <c r="C29" s="60"/>
      <c r="D29" s="60"/>
      <c r="E29" s="81"/>
      <c r="F29" s="60"/>
      <c r="G29" s="60"/>
      <c r="H29" s="5"/>
      <c r="I29" s="6"/>
      <c r="M29" s="4"/>
      <c r="N29" s="6"/>
    </row>
    <row r="30" spans="1:14" ht="15.75" thickBot="1" x14ac:dyDescent="0.3">
      <c r="A30" s="7"/>
      <c r="B30" s="8"/>
      <c r="C30" s="8"/>
      <c r="D30" s="8"/>
      <c r="E30" s="8"/>
      <c r="F30" s="8"/>
      <c r="G30" s="8"/>
      <c r="H30" s="8"/>
      <c r="I30" s="59"/>
      <c r="M30" s="7"/>
      <c r="N30" s="59"/>
    </row>
    <row r="33" spans="2:5" ht="15.75" thickBot="1" x14ac:dyDescent="0.3"/>
    <row r="34" spans="2:5" x14ac:dyDescent="0.25">
      <c r="B34" s="132" t="s">
        <v>130</v>
      </c>
      <c r="C34" s="133"/>
      <c r="D34" s="133"/>
      <c r="E34" s="134"/>
    </row>
    <row r="35" spans="2:5" x14ac:dyDescent="0.25">
      <c r="B35" s="135" t="s">
        <v>37</v>
      </c>
      <c r="C35" s="136"/>
      <c r="D35" s="136"/>
      <c r="E35" s="137"/>
    </row>
    <row r="36" spans="2:5" x14ac:dyDescent="0.25">
      <c r="B36" s="138" t="s">
        <v>38</v>
      </c>
      <c r="C36" s="139"/>
      <c r="D36" s="139"/>
      <c r="E36" s="140"/>
    </row>
    <row r="37" spans="2:5" x14ac:dyDescent="0.25">
      <c r="B37" s="141" t="s">
        <v>131</v>
      </c>
      <c r="C37" s="142"/>
      <c r="D37" s="142"/>
      <c r="E37" s="143"/>
    </row>
    <row r="38" spans="2:5" x14ac:dyDescent="0.25">
      <c r="B38" s="144" t="s">
        <v>36</v>
      </c>
      <c r="C38" s="145"/>
      <c r="D38" s="145"/>
      <c r="E38" s="146"/>
    </row>
    <row r="39" spans="2:5" ht="15.75" thickBot="1" x14ac:dyDescent="0.3">
      <c r="B39" s="129" t="s">
        <v>58</v>
      </c>
      <c r="C39" s="130"/>
      <c r="D39" s="130"/>
      <c r="E39" s="131"/>
    </row>
  </sheetData>
  <mergeCells count="6">
    <mergeCell ref="B39:E39"/>
    <mergeCell ref="B34:E34"/>
    <mergeCell ref="B35:E35"/>
    <mergeCell ref="B36:E36"/>
    <mergeCell ref="B37:E37"/>
    <mergeCell ref="B38:E3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calc_resilience">
                <anchor moveWithCells="1" sizeWithCells="1">
                  <from>
                    <xdr:col>8</xdr:col>
                    <xdr:colOff>1276350</xdr:colOff>
                    <xdr:row>2</xdr:row>
                    <xdr:rowOff>19050</xdr:rowOff>
                  </from>
                  <to>
                    <xdr:col>11</xdr:col>
                    <xdr:colOff>19050</xdr:colOff>
                    <xdr:row>3</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R41"/>
  <sheetViews>
    <sheetView topLeftCell="A28" zoomScale="90" zoomScaleNormal="90" workbookViewId="0">
      <selection activeCell="F14" sqref="F14"/>
    </sheetView>
  </sheetViews>
  <sheetFormatPr defaultRowHeight="15" x14ac:dyDescent="0.25"/>
  <cols>
    <col min="2" max="2" width="14.7109375" customWidth="1"/>
    <col min="3" max="3" width="14.85546875" customWidth="1"/>
    <col min="5" max="5" width="27.7109375" customWidth="1"/>
    <col min="8" max="8" width="16" customWidth="1"/>
    <col min="9" max="9" width="14.42578125" customWidth="1"/>
    <col min="11" max="11" width="9.85546875" customWidth="1"/>
    <col min="14" max="14" width="20.7109375" customWidth="1"/>
  </cols>
  <sheetData>
    <row r="1" spans="2:18" ht="15.75" thickBot="1" x14ac:dyDescent="0.3"/>
    <row r="2" spans="2:18" ht="15.75" thickBot="1" x14ac:dyDescent="0.3">
      <c r="G2" s="71"/>
      <c r="M2" s="17" t="s">
        <v>47</v>
      </c>
      <c r="N2" s="18"/>
      <c r="O2" s="18"/>
      <c r="P2" s="18"/>
      <c r="Q2" s="18"/>
      <c r="R2" s="19"/>
    </row>
    <row r="3" spans="2:18" ht="15.75" thickBot="1" x14ac:dyDescent="0.3">
      <c r="B3" s="17" t="s">
        <v>32</v>
      </c>
      <c r="C3" s="18"/>
      <c r="D3" s="18"/>
      <c r="E3" s="20" t="s">
        <v>0</v>
      </c>
      <c r="H3" s="17" t="s">
        <v>34</v>
      </c>
      <c r="I3" s="18"/>
      <c r="J3" s="18"/>
      <c r="K3" s="20" t="s">
        <v>0</v>
      </c>
      <c r="M3" s="46" t="s">
        <v>37</v>
      </c>
      <c r="N3" s="47"/>
      <c r="O3" s="47"/>
      <c r="P3" s="47"/>
      <c r="Q3" s="47"/>
      <c r="R3" s="48"/>
    </row>
    <row r="4" spans="2:18" x14ac:dyDescent="0.25">
      <c r="B4" s="4" t="s">
        <v>6</v>
      </c>
      <c r="C4" s="16" t="s">
        <v>123</v>
      </c>
      <c r="D4" s="5"/>
      <c r="E4" s="21"/>
      <c r="H4" s="4" t="s">
        <v>95</v>
      </c>
      <c r="I4" s="16" t="s">
        <v>127</v>
      </c>
      <c r="J4" s="5"/>
      <c r="K4" s="25"/>
      <c r="M4" s="37" t="s">
        <v>38</v>
      </c>
      <c r="N4" s="34"/>
      <c r="O4" s="34"/>
      <c r="P4" s="34"/>
      <c r="Q4" s="34"/>
      <c r="R4" s="38"/>
    </row>
    <row r="5" spans="2:18" x14ac:dyDescent="0.25">
      <c r="B5" s="4" t="s">
        <v>7</v>
      </c>
      <c r="C5" s="10" t="s">
        <v>128</v>
      </c>
      <c r="D5" s="5"/>
      <c r="E5" s="21"/>
      <c r="H5" s="4"/>
      <c r="I5" s="5"/>
      <c r="J5" s="5"/>
      <c r="K5" s="21"/>
      <c r="M5" s="39" t="s">
        <v>35</v>
      </c>
      <c r="N5" s="35"/>
      <c r="O5" s="35"/>
      <c r="P5" s="35"/>
      <c r="Q5" s="35"/>
      <c r="R5" s="40"/>
    </row>
    <row r="6" spans="2:18" x14ac:dyDescent="0.25">
      <c r="B6" s="4"/>
      <c r="C6" s="5"/>
      <c r="D6" s="5"/>
      <c r="E6" s="21"/>
      <c r="H6" s="4"/>
      <c r="I6" s="5" t="s">
        <v>17</v>
      </c>
      <c r="J6" s="5" t="s">
        <v>18</v>
      </c>
      <c r="K6" s="21"/>
      <c r="M6" s="41" t="s">
        <v>36</v>
      </c>
      <c r="N6" s="36"/>
      <c r="O6" s="36"/>
      <c r="P6" s="36"/>
      <c r="Q6" s="36"/>
      <c r="R6" s="42"/>
    </row>
    <row r="7" spans="2:18" ht="15.75" thickBot="1" x14ac:dyDescent="0.3">
      <c r="B7" s="4" t="s">
        <v>8</v>
      </c>
      <c r="C7" s="10" t="s">
        <v>122</v>
      </c>
      <c r="D7" s="5"/>
      <c r="E7" s="21" t="s">
        <v>42</v>
      </c>
      <c r="H7" s="4" t="s">
        <v>19</v>
      </c>
      <c r="I7" s="11">
        <v>0.58729599966608237</v>
      </c>
      <c r="J7" s="82">
        <v>0.23560371803282801</v>
      </c>
      <c r="K7" s="21"/>
      <c r="M7" s="43" t="s">
        <v>58</v>
      </c>
      <c r="N7" s="44"/>
      <c r="O7" s="44"/>
      <c r="P7" s="44"/>
      <c r="Q7" s="44"/>
      <c r="R7" s="45"/>
    </row>
    <row r="8" spans="2:18" ht="30" x14ac:dyDescent="0.25">
      <c r="B8" s="9" t="s">
        <v>11</v>
      </c>
      <c r="C8" s="10">
        <v>1280</v>
      </c>
      <c r="D8" s="5"/>
      <c r="E8" s="21"/>
      <c r="H8" s="9" t="s">
        <v>46</v>
      </c>
      <c r="I8" s="13">
        <v>1.1000000000000001</v>
      </c>
      <c r="J8" s="24">
        <v>1.5</v>
      </c>
      <c r="K8" s="28" t="s">
        <v>120</v>
      </c>
      <c r="M8" s="5"/>
      <c r="N8" s="5"/>
      <c r="O8" s="5"/>
      <c r="P8" s="5"/>
      <c r="Q8" s="5"/>
      <c r="R8" s="5"/>
    </row>
    <row r="9" spans="2:18" x14ac:dyDescent="0.25">
      <c r="B9" s="4" t="s">
        <v>10</v>
      </c>
      <c r="C9" s="11">
        <v>3</v>
      </c>
      <c r="D9" s="5"/>
      <c r="E9" s="21"/>
      <c r="H9" s="4"/>
      <c r="I9" s="5"/>
      <c r="J9" s="5"/>
      <c r="K9" s="21"/>
      <c r="M9" s="5"/>
      <c r="N9" s="5"/>
      <c r="O9" s="5"/>
      <c r="P9" s="5"/>
      <c r="Q9" s="5"/>
      <c r="R9" s="5"/>
    </row>
    <row r="10" spans="2:18" ht="15.75" thickBot="1" x14ac:dyDescent="0.3">
      <c r="B10" s="4" t="s">
        <v>9</v>
      </c>
      <c r="C10" s="10">
        <v>1937</v>
      </c>
      <c r="D10" s="5"/>
      <c r="E10" s="21"/>
      <c r="H10" s="7" t="s">
        <v>20</v>
      </c>
      <c r="I10" s="15">
        <f>I7*I8</f>
        <v>0.64602559963269068</v>
      </c>
      <c r="J10" s="53">
        <f>J7*J8</f>
        <v>0.35340557704924203</v>
      </c>
      <c r="K10" s="22"/>
      <c r="M10" s="5"/>
      <c r="N10" s="5"/>
      <c r="O10" s="5"/>
      <c r="P10" s="5"/>
      <c r="Q10" s="5"/>
      <c r="R10" s="5"/>
    </row>
    <row r="11" spans="2:18" ht="15.75" customHeight="1" x14ac:dyDescent="0.25">
      <c r="B11" s="4" t="s">
        <v>12</v>
      </c>
      <c r="C11" s="10" t="s">
        <v>124</v>
      </c>
      <c r="D11" s="5"/>
      <c r="E11" s="23" t="s">
        <v>43</v>
      </c>
    </row>
    <row r="12" spans="2:18" ht="15.75" customHeight="1" x14ac:dyDescent="0.25">
      <c r="B12" s="4"/>
      <c r="C12" s="5"/>
      <c r="D12" s="5"/>
      <c r="E12" s="23"/>
    </row>
    <row r="13" spans="2:18" ht="15.75" customHeight="1" x14ac:dyDescent="0.25">
      <c r="B13" s="4" t="s">
        <v>48</v>
      </c>
      <c r="C13" s="13" t="s">
        <v>94</v>
      </c>
      <c r="D13" s="5"/>
      <c r="E13" s="23" t="s">
        <v>44</v>
      </c>
      <c r="G13" s="78"/>
    </row>
    <row r="14" spans="2:18" ht="48" customHeight="1" thickBot="1" x14ac:dyDescent="0.3">
      <c r="B14" s="9" t="s">
        <v>53</v>
      </c>
      <c r="C14" s="79">
        <f>523000000/1000</f>
        <v>523000</v>
      </c>
      <c r="D14" s="5"/>
      <c r="E14" s="23" t="s">
        <v>52</v>
      </c>
    </row>
    <row r="15" spans="2:18" ht="15.75" thickBot="1" x14ac:dyDescent="0.3">
      <c r="B15" s="7" t="s">
        <v>15</v>
      </c>
      <c r="C15" s="12">
        <v>0</v>
      </c>
      <c r="D15" s="8"/>
      <c r="E15" s="22" t="s">
        <v>41</v>
      </c>
      <c r="H15" s="17" t="s">
        <v>33</v>
      </c>
      <c r="I15" s="18"/>
      <c r="J15" s="18"/>
      <c r="K15" s="18"/>
      <c r="L15" s="18"/>
      <c r="M15" s="18"/>
      <c r="N15" s="20" t="s">
        <v>0</v>
      </c>
    </row>
    <row r="16" spans="2:18" x14ac:dyDescent="0.25">
      <c r="H16" s="4" t="s">
        <v>30</v>
      </c>
      <c r="I16" s="30">
        <v>0.6</v>
      </c>
      <c r="J16" s="5"/>
      <c r="K16" s="5"/>
      <c r="L16" s="5"/>
      <c r="M16" s="5"/>
      <c r="N16" s="21"/>
    </row>
    <row r="17" spans="2:14" ht="15.75" thickBot="1" x14ac:dyDescent="0.3">
      <c r="H17" s="4"/>
      <c r="I17" s="5"/>
      <c r="J17" s="5"/>
      <c r="K17" s="5"/>
      <c r="L17" s="5"/>
      <c r="M17" s="5"/>
      <c r="N17" s="21"/>
    </row>
    <row r="18" spans="2:14" ht="15.75" thickBot="1" x14ac:dyDescent="0.3">
      <c r="B18" s="17" t="s">
        <v>40</v>
      </c>
      <c r="C18" s="18"/>
      <c r="D18" s="18"/>
      <c r="E18" s="20" t="s">
        <v>0</v>
      </c>
      <c r="H18" s="4" t="s">
        <v>21</v>
      </c>
      <c r="I18" s="5"/>
      <c r="J18" s="5"/>
      <c r="K18" s="5"/>
      <c r="L18" s="5"/>
      <c r="M18" s="5"/>
      <c r="N18" s="21"/>
    </row>
    <row r="19" spans="2:14" x14ac:dyDescent="0.25">
      <c r="B19" s="4" t="s">
        <v>13</v>
      </c>
      <c r="C19" s="26">
        <v>0</v>
      </c>
      <c r="D19" s="5"/>
      <c r="E19" s="21" t="s">
        <v>44</v>
      </c>
      <c r="H19" s="4"/>
      <c r="I19" s="74" t="s">
        <v>29</v>
      </c>
      <c r="J19" s="74" t="s">
        <v>22</v>
      </c>
      <c r="K19" s="74" t="s">
        <v>23</v>
      </c>
      <c r="L19" s="74" t="s">
        <v>24</v>
      </c>
      <c r="M19" s="75" t="s">
        <v>25</v>
      </c>
      <c r="N19" s="21"/>
    </row>
    <row r="20" spans="2:14" ht="32.25" customHeight="1" x14ac:dyDescent="0.25">
      <c r="B20" s="4" t="s">
        <v>14</v>
      </c>
      <c r="C20" s="5" t="s">
        <v>3</v>
      </c>
      <c r="D20" s="24">
        <v>0.25</v>
      </c>
      <c r="E20" s="147" t="s">
        <v>45</v>
      </c>
      <c r="H20" s="4" t="s">
        <v>26</v>
      </c>
      <c r="I20" s="5" t="s">
        <v>28</v>
      </c>
      <c r="J20" s="26">
        <v>0.4</v>
      </c>
      <c r="K20" s="26">
        <v>0.5</v>
      </c>
      <c r="L20" s="26">
        <v>0.7</v>
      </c>
      <c r="M20" s="73">
        <v>0.9</v>
      </c>
      <c r="N20" s="23" t="s">
        <v>121</v>
      </c>
    </row>
    <row r="21" spans="2:14" x14ac:dyDescent="0.25">
      <c r="B21" s="4"/>
      <c r="C21" s="5" t="s">
        <v>4</v>
      </c>
      <c r="D21" s="24">
        <v>1</v>
      </c>
      <c r="E21" s="147"/>
      <c r="H21" s="4"/>
      <c r="I21" s="5"/>
      <c r="J21" s="5"/>
      <c r="K21" s="5"/>
      <c r="L21" s="5"/>
      <c r="M21" s="5"/>
      <c r="N21" s="21"/>
    </row>
    <row r="22" spans="2:14" x14ac:dyDescent="0.25">
      <c r="B22" s="4"/>
      <c r="C22" s="5"/>
      <c r="D22" s="5"/>
      <c r="E22" s="21"/>
      <c r="H22" s="4" t="s">
        <v>27</v>
      </c>
      <c r="I22" s="5" t="s">
        <v>28</v>
      </c>
      <c r="J22" s="14">
        <f>J20*$C$28</f>
        <v>0.4</v>
      </c>
      <c r="K22" s="14">
        <f>K20*$C$25*$C$24</f>
        <v>0.5625</v>
      </c>
      <c r="L22" s="14">
        <f>L20*$C$25*$C$24</f>
        <v>0.78749999999999998</v>
      </c>
      <c r="M22" s="29">
        <f>M20*$C$25*$C$24</f>
        <v>1.0125</v>
      </c>
      <c r="N22" s="21"/>
    </row>
    <row r="23" spans="2:14" x14ac:dyDescent="0.25">
      <c r="B23" s="4"/>
      <c r="C23" s="5"/>
      <c r="D23" s="5"/>
      <c r="E23" s="21"/>
      <c r="H23" s="4"/>
      <c r="I23" s="5"/>
      <c r="J23" s="5"/>
      <c r="K23" s="5"/>
      <c r="L23" s="5"/>
      <c r="M23" s="5"/>
      <c r="N23" s="21"/>
    </row>
    <row r="24" spans="2:14" ht="15.75" thickBot="1" x14ac:dyDescent="0.3">
      <c r="B24" s="4" t="s">
        <v>2</v>
      </c>
      <c r="C24" s="14">
        <f>1+D20/(C9-D21)</f>
        <v>1.125</v>
      </c>
      <c r="D24" s="5"/>
      <c r="E24" s="21"/>
      <c r="H24" s="4"/>
      <c r="I24" s="5"/>
      <c r="J24" s="5"/>
      <c r="K24" s="5"/>
      <c r="L24" s="5"/>
      <c r="M24" s="5"/>
      <c r="N24" s="21"/>
    </row>
    <row r="25" spans="2:14" ht="15.75" thickBot="1" x14ac:dyDescent="0.3">
      <c r="B25" s="4" t="s">
        <v>1</v>
      </c>
      <c r="C25" s="14">
        <f xml:space="preserve"> SQRT(SIN((90-C15)*PI()/180))</f>
        <v>1</v>
      </c>
      <c r="D25" s="5"/>
      <c r="E25" s="21"/>
      <c r="H25" s="17" t="s">
        <v>61</v>
      </c>
      <c r="I25" s="18"/>
      <c r="J25" s="18"/>
      <c r="K25" s="18"/>
      <c r="L25" s="18"/>
      <c r="M25" s="19"/>
      <c r="N25" s="25"/>
    </row>
    <row r="26" spans="2:14" x14ac:dyDescent="0.25">
      <c r="B26" s="4" t="s">
        <v>16</v>
      </c>
      <c r="C26" s="14">
        <f>2.5*J10/I10</f>
        <v>1.3676144461232538</v>
      </c>
      <c r="D26" s="5"/>
      <c r="E26" s="21"/>
      <c r="H26" s="4" t="s">
        <v>39</v>
      </c>
      <c r="I26" s="49">
        <v>1</v>
      </c>
      <c r="J26" s="49">
        <f>_xlfn.NORM.DIST(LN($J$10), LN(J22), $I$16, TRUE)</f>
        <v>0.41823389406813499</v>
      </c>
      <c r="K26" s="49">
        <f>_xlfn.NORM.DIST(LN($J$10), LN(K22), $I$16, TRUE)</f>
        <v>0.21928074201995815</v>
      </c>
      <c r="L26" s="49">
        <f>_xlfn.NORM.DIST(LN($J$10), LN(L22), $I$16, TRUE)</f>
        <v>9.0870816093331433E-2</v>
      </c>
      <c r="M26" s="33">
        <f>_xlfn.NORM.DIST(LN($J$10), LN(M22), $I$16, TRUE)</f>
        <v>3.9692204196260648E-2</v>
      </c>
      <c r="N26" s="21"/>
    </row>
    <row r="27" spans="2:14" ht="15.75" thickBot="1" x14ac:dyDescent="0.3">
      <c r="B27" s="4"/>
      <c r="C27" s="5"/>
      <c r="D27" s="5"/>
      <c r="E27" s="21"/>
      <c r="H27" s="7" t="s">
        <v>31</v>
      </c>
      <c r="I27" s="31">
        <f>I26-J26</f>
        <v>0.58176610593186506</v>
      </c>
      <c r="J27" s="31">
        <f>J26-K26</f>
        <v>0.19895315204817685</v>
      </c>
      <c r="K27" s="31">
        <f>K26-L26</f>
        <v>0.1284099259266267</v>
      </c>
      <c r="L27" s="31">
        <f>L26-M26</f>
        <v>5.1178611897070785E-2</v>
      </c>
      <c r="M27" s="32">
        <f>M26-N23</f>
        <v>3.9692204196260648E-2</v>
      </c>
      <c r="N27" s="50"/>
    </row>
    <row r="28" spans="2:14" ht="15.75" thickBot="1" x14ac:dyDescent="0.3">
      <c r="B28" s="7" t="s">
        <v>5</v>
      </c>
      <c r="C28" s="15">
        <f>IF(C19=0, 1, MIN(1, C26))</f>
        <v>1</v>
      </c>
      <c r="D28" s="8"/>
      <c r="E28" s="22"/>
      <c r="H28" s="4"/>
      <c r="I28" s="5"/>
      <c r="J28" s="5"/>
      <c r="K28" s="5"/>
      <c r="L28" s="5"/>
      <c r="M28" s="5"/>
      <c r="N28" s="20"/>
    </row>
    <row r="29" spans="2:14" x14ac:dyDescent="0.25">
      <c r="H29" s="2" t="s">
        <v>49</v>
      </c>
      <c r="I29" s="51">
        <v>0</v>
      </c>
      <c r="J29" s="51">
        <v>0.03</v>
      </c>
      <c r="K29" s="51">
        <v>0.08</v>
      </c>
      <c r="L29" s="51">
        <v>0.25</v>
      </c>
      <c r="M29" s="54">
        <f xml:space="preserve"> IF($C$9&gt;2, 2/$C$9, 1)</f>
        <v>0.66666666666666663</v>
      </c>
      <c r="N29" s="25"/>
    </row>
    <row r="30" spans="2:14" ht="15.75" thickBot="1" x14ac:dyDescent="0.3">
      <c r="H30" s="7" t="s">
        <v>50</v>
      </c>
      <c r="I30" s="15">
        <f>I29*I27</f>
        <v>0</v>
      </c>
      <c r="J30" s="15">
        <f>J29*J27</f>
        <v>5.968594561445305E-3</v>
      </c>
      <c r="K30" s="15">
        <f>K29*K27</f>
        <v>1.0272794074130136E-2</v>
      </c>
      <c r="L30" s="15">
        <f>L29*L27</f>
        <v>1.2794652974267696E-2</v>
      </c>
      <c r="M30" s="27">
        <f>M29*M27</f>
        <v>2.6461469464173763E-2</v>
      </c>
      <c r="N30" s="22"/>
    </row>
    <row r="31" spans="2:14" ht="15.75" thickBot="1" x14ac:dyDescent="0.3">
      <c r="H31" s="2"/>
      <c r="I31" s="3"/>
      <c r="J31" s="3"/>
      <c r="K31" s="3"/>
      <c r="L31" s="3"/>
      <c r="M31" s="3"/>
      <c r="N31" s="25"/>
    </row>
    <row r="32" spans="2:14" x14ac:dyDescent="0.25">
      <c r="H32" s="2" t="s">
        <v>56</v>
      </c>
      <c r="I32" s="51">
        <v>0</v>
      </c>
      <c r="J32" s="51">
        <v>0.6</v>
      </c>
      <c r="K32" s="51">
        <v>2.5</v>
      </c>
      <c r="L32" s="51">
        <v>75</v>
      </c>
      <c r="M32" s="52">
        <v>230</v>
      </c>
      <c r="N32" s="25"/>
    </row>
    <row r="33" spans="8:14" ht="15.75" thickBot="1" x14ac:dyDescent="0.3">
      <c r="H33" s="7" t="s">
        <v>55</v>
      </c>
      <c r="I33" s="15">
        <f>I27*I32</f>
        <v>0</v>
      </c>
      <c r="J33" s="15">
        <f>J27*J32</f>
        <v>0.1193718912289061</v>
      </c>
      <c r="K33" s="15">
        <f>K27*K32</f>
        <v>0.32102481481656675</v>
      </c>
      <c r="L33" s="15">
        <f>L27*L32</f>
        <v>3.838395892280309</v>
      </c>
      <c r="M33" s="53">
        <f>M27*M32</f>
        <v>9.1292069651399483</v>
      </c>
      <c r="N33" s="22"/>
    </row>
    <row r="36" spans="8:14" ht="15.75" thickBot="1" x14ac:dyDescent="0.3"/>
    <row r="37" spans="8:14" ht="30.75" thickBot="1" x14ac:dyDescent="0.3">
      <c r="H37" s="55" t="s">
        <v>51</v>
      </c>
      <c r="I37" s="57">
        <f>SUM(I30:M30)</f>
        <v>5.5497511074016903E-2</v>
      </c>
    </row>
    <row r="38" spans="8:14" ht="15.75" thickBot="1" x14ac:dyDescent="0.3"/>
    <row r="39" spans="8:14" ht="15.75" thickBot="1" x14ac:dyDescent="0.3">
      <c r="H39" s="17" t="s">
        <v>54</v>
      </c>
      <c r="I39" s="56">
        <f>I37*C14 * 1000</f>
        <v>29025198.291710839</v>
      </c>
    </row>
    <row r="40" spans="8:14" ht="15.75" thickBot="1" x14ac:dyDescent="0.3"/>
    <row r="41" spans="8:14" ht="30.75" thickBot="1" x14ac:dyDescent="0.3">
      <c r="H41" s="55" t="s">
        <v>57</v>
      </c>
      <c r="I41" s="58">
        <f>_xlfn.CEILING.MATH(SUM(I33:M33))</f>
        <v>14</v>
      </c>
    </row>
  </sheetData>
  <mergeCells count="1">
    <mergeCell ref="E20:E2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4:D17"/>
  <sheetViews>
    <sheetView workbookViewId="0">
      <selection activeCell="F8" sqref="F8"/>
    </sheetView>
  </sheetViews>
  <sheetFormatPr defaultRowHeight="15" x14ac:dyDescent="0.25"/>
  <cols>
    <col min="1" max="1" width="25.7109375" customWidth="1"/>
    <col min="2" max="2" width="17.28515625" customWidth="1"/>
    <col min="3" max="3" width="17.85546875" customWidth="1"/>
    <col min="4" max="4" width="16.28515625" bestFit="1" customWidth="1"/>
  </cols>
  <sheetData>
    <row r="4" spans="1:4" x14ac:dyDescent="0.25">
      <c r="A4" t="s">
        <v>115</v>
      </c>
      <c r="B4" t="s">
        <v>103</v>
      </c>
      <c r="C4" t="s">
        <v>100</v>
      </c>
      <c r="D4" t="s">
        <v>88</v>
      </c>
    </row>
    <row r="5" spans="1:4" x14ac:dyDescent="0.25">
      <c r="A5" t="s">
        <v>69</v>
      </c>
      <c r="B5" s="91">
        <v>2.9926764274829027</v>
      </c>
      <c r="C5" s="91">
        <v>2.9650642306136517</v>
      </c>
      <c r="D5" s="91">
        <v>2.9403314180239284</v>
      </c>
    </row>
    <row r="6" spans="1:4" s="77" customFormat="1" x14ac:dyDescent="0.25">
      <c r="A6" s="77" t="s">
        <v>116</v>
      </c>
      <c r="B6" s="77">
        <v>10439.347467398555</v>
      </c>
      <c r="C6" s="77">
        <v>50093.055984710707</v>
      </c>
      <c r="D6" s="77">
        <v>93524.566463683761</v>
      </c>
    </row>
    <row r="7" spans="1:4" x14ac:dyDescent="0.25">
      <c r="B7" s="77"/>
    </row>
    <row r="8" spans="1:4" s="77" customFormat="1" x14ac:dyDescent="0.25">
      <c r="A8" s="92" t="s">
        <v>142</v>
      </c>
      <c r="B8" s="77">
        <v>182000000</v>
      </c>
      <c r="C8" s="77">
        <f>418000000</f>
        <v>418000000</v>
      </c>
      <c r="D8" s="77">
        <v>523000000</v>
      </c>
    </row>
    <row r="9" spans="1:4" x14ac:dyDescent="0.25">
      <c r="A9" t="s">
        <v>118</v>
      </c>
      <c r="B9" t="s">
        <v>119</v>
      </c>
      <c r="C9" t="s">
        <v>94</v>
      </c>
      <c r="D9" t="s">
        <v>94</v>
      </c>
    </row>
    <row r="10" spans="1:4" x14ac:dyDescent="0.25">
      <c r="A10" t="s">
        <v>95</v>
      </c>
      <c r="B10" t="s">
        <v>117</v>
      </c>
      <c r="C10" t="s">
        <v>117</v>
      </c>
      <c r="D10" t="s">
        <v>127</v>
      </c>
    </row>
    <row r="11" spans="1:4" x14ac:dyDescent="0.25">
      <c r="A11" t="s">
        <v>6</v>
      </c>
      <c r="B11">
        <v>105</v>
      </c>
      <c r="C11">
        <v>308</v>
      </c>
      <c r="D11">
        <v>313</v>
      </c>
    </row>
    <row r="14" spans="1:4" x14ac:dyDescent="0.25">
      <c r="A14" t="s">
        <v>56</v>
      </c>
      <c r="B14" t="s">
        <v>125</v>
      </c>
      <c r="C14" t="s">
        <v>126</v>
      </c>
      <c r="D14" t="s">
        <v>129</v>
      </c>
    </row>
    <row r="17" spans="2:4" x14ac:dyDescent="0.25">
      <c r="B17" s="80"/>
      <c r="C17" s="80"/>
      <c r="D17"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HazardData</vt:lpstr>
      <vt:lpstr>Resilience</vt:lpstr>
      <vt:lpstr>Fragility</vt:lpstr>
      <vt:lpstr>Misc</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 thapa</dc:creator>
  <cp:lastModifiedBy>Dev thapa</cp:lastModifiedBy>
  <dcterms:created xsi:type="dcterms:W3CDTF">2021-07-04T14:29:09Z</dcterms:created>
  <dcterms:modified xsi:type="dcterms:W3CDTF">2021-07-23T08:56:55Z</dcterms:modified>
</cp:coreProperties>
</file>